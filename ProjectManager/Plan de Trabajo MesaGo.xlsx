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972f62199fb7835/Desarrollo/MesaGo/Documentación/"/>
    </mc:Choice>
  </mc:AlternateContent>
  <xr:revisionPtr revIDLastSave="472" documentId="8_{3125EB55-F1D8-4EC9-99CF-5A63700ADA03}" xr6:coauthVersionLast="47" xr6:coauthVersionMax="47" xr10:uidLastSave="{F42DF924-2CCF-473B-8C0E-FB3BEB9E0340}"/>
  <bookViews>
    <workbookView xWindow="-24120" yWindow="-120" windowWidth="24240" windowHeight="13020" xr2:uid="{5314A93E-74B4-4477-A0AB-D5D95A504458}"/>
  </bookViews>
  <sheets>
    <sheet name="Actividades" sheetId="1" r:id="rId1"/>
    <sheet name="Grant" sheetId="2" r:id="rId2"/>
    <sheet name="Dashboar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7" i="4" l="1"/>
  <c r="D17" i="4"/>
  <c r="D26" i="4" s="1"/>
  <c r="D18" i="4"/>
  <c r="D19" i="4"/>
  <c r="D20" i="4"/>
  <c r="D21" i="4"/>
  <c r="D22" i="4"/>
  <c r="D23" i="4"/>
  <c r="D24" i="4"/>
  <c r="D25" i="4"/>
  <c r="B26" i="4"/>
  <c r="B8" i="4"/>
  <c r="B9" i="4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B59" i="2"/>
  <c r="B58" i="2"/>
  <c r="B57" i="2"/>
  <c r="B56" i="2"/>
  <c r="B55" i="2"/>
  <c r="K8" i="1"/>
  <c r="L8" i="1"/>
  <c r="O3" i="1"/>
  <c r="O4" i="1"/>
  <c r="O5" i="1"/>
  <c r="O6" i="1"/>
  <c r="O7" i="1"/>
  <c r="O16" i="1"/>
  <c r="O17" i="1"/>
  <c r="O18" i="1"/>
  <c r="L3" i="1"/>
  <c r="L4" i="1"/>
  <c r="L5" i="1"/>
  <c r="L7" i="1"/>
  <c r="L9" i="1"/>
  <c r="L13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3" i="1"/>
  <c r="K4" i="1"/>
  <c r="K5" i="1"/>
  <c r="K6" i="1"/>
  <c r="K7" i="1"/>
  <c r="K9" i="1"/>
  <c r="K13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</calcChain>
</file>

<file path=xl/sharedStrings.xml><?xml version="1.0" encoding="utf-8"?>
<sst xmlns="http://schemas.openxmlformats.org/spreadsheetml/2006/main" count="593" uniqueCount="304">
  <si>
    <t>Sección</t>
  </si>
  <si>
    <t>Planeación y Diseño</t>
  </si>
  <si>
    <t>Revisión de requerimientos y alcance</t>
  </si>
  <si>
    <t>Completado</t>
  </si>
  <si>
    <t>reqs</t>
  </si>
  <si>
    <t>Diseño arquitectónico v6.0–6.2</t>
  </si>
  <si>
    <t>arch</t>
  </si>
  <si>
    <t>Diseño de BD final (local)</t>
  </si>
  <si>
    <t>dblocal</t>
  </si>
  <si>
    <t>Diseño de BD final (cloud)</t>
  </si>
  <si>
    <t>En Progreso</t>
  </si>
  <si>
    <t>dbcloud</t>
  </si>
  <si>
    <t>Front End WEB</t>
  </si>
  <si>
    <t>WEB Local - Alta de Establecimientos</t>
  </si>
  <si>
    <t>web1</t>
  </si>
  <si>
    <t>WEB Local - Login</t>
  </si>
  <si>
    <t>web2</t>
  </si>
  <si>
    <t>WEB Local - Órdenes y Mesas</t>
  </si>
  <si>
    <t>web3</t>
  </si>
  <si>
    <t>Backend Local</t>
  </si>
  <si>
    <t>API Local - Alta de Establecimientos</t>
  </si>
  <si>
    <t>api1</t>
  </si>
  <si>
    <t>API Local - Cifrado de acceso BD</t>
  </si>
  <si>
    <t>api2</t>
  </si>
  <si>
    <t>API Local - Consumo de Usuarios</t>
  </si>
  <si>
    <t>api3</t>
  </si>
  <si>
    <t>API Local – Órdenes y Mesas</t>
  </si>
  <si>
    <t>api4</t>
  </si>
  <si>
    <t>API Local – Inventarios y Recetas</t>
  </si>
  <si>
    <t>Pendiente</t>
  </si>
  <si>
    <t>api5</t>
  </si>
  <si>
    <t>API Local – Reservaciones</t>
  </si>
  <si>
    <t>api6</t>
  </si>
  <si>
    <t>API Local – Solicitudes de atención (v6.1)</t>
  </si>
  <si>
    <t>api7</t>
  </si>
  <si>
    <t>API Local – Devoluciones (v6.2)</t>
  </si>
  <si>
    <t>api8</t>
  </si>
  <si>
    <t>Motor de sincronización local↔cloud</t>
  </si>
  <si>
    <t>sync</t>
  </si>
  <si>
    <t>Server Cloud</t>
  </si>
  <si>
    <t>Server - Creación del servidor Ubuntu</t>
  </si>
  <si>
    <t>serv1</t>
  </si>
  <si>
    <t>Server - Creación de llave de acceso</t>
  </si>
  <si>
    <t>serv2</t>
  </si>
  <si>
    <t>Server - Creación de usuario mesago</t>
  </si>
  <si>
    <t>serv3</t>
  </si>
  <si>
    <t>Server - Configuración del Servidor</t>
  </si>
  <si>
    <t>serv4</t>
  </si>
  <si>
    <t>Backend Cloud</t>
  </si>
  <si>
    <t>API Cloud – Establecimientos y Mesas</t>
  </si>
  <si>
    <t>cloud1</t>
  </si>
  <si>
    <t>API Cloud – Inventarios</t>
  </si>
  <si>
    <t>cloud2</t>
  </si>
  <si>
    <t>API Cloud – Reparto (Uber/Didi/Rappi)</t>
  </si>
  <si>
    <t>cloud3</t>
  </si>
  <si>
    <t>API Cloud – Reservaciones</t>
  </si>
  <si>
    <t>cloud4</t>
  </si>
  <si>
    <t>API Cloud – Reportes</t>
  </si>
  <si>
    <t>cloud5</t>
  </si>
  <si>
    <t>PWA Cliente</t>
  </si>
  <si>
    <t>PWA – Menú digital</t>
  </si>
  <si>
    <t>pwa1</t>
  </si>
  <si>
    <t>PWA – Pedidos</t>
  </si>
  <si>
    <t>pwa2</t>
  </si>
  <si>
    <t>PWA – Solicitudes de atención</t>
  </si>
  <si>
    <t>pwa3</t>
  </si>
  <si>
    <t>PWA – Reservaciones</t>
  </si>
  <si>
    <t>pwa4</t>
  </si>
  <si>
    <t>PWA – Pago y cierre</t>
  </si>
  <si>
    <t>pwa5</t>
  </si>
  <si>
    <t>App Mesero</t>
  </si>
  <si>
    <t>App Mesero – Órdenes</t>
  </si>
  <si>
    <t>mes1</t>
  </si>
  <si>
    <t>App Mesero – Notificaciones</t>
  </si>
  <si>
    <t>mes2</t>
  </si>
  <si>
    <t>App Mesero – Solicitudes de atención</t>
  </si>
  <si>
    <t>mes3</t>
  </si>
  <si>
    <t>App Mesero – Devoluciones</t>
  </si>
  <si>
    <t>mes4</t>
  </si>
  <si>
    <t>Cocina/Bar</t>
  </si>
  <si>
    <t>UI Cocina – Tiempos y estados</t>
  </si>
  <si>
    <t>cook1</t>
  </si>
  <si>
    <t>UI Bar – Tiempos y estados</t>
  </si>
  <si>
    <t>bar1</t>
  </si>
  <si>
    <t>Integraciones</t>
  </si>
  <si>
    <t>Integración con apps de reparto</t>
  </si>
  <si>
    <t>rep1</t>
  </si>
  <si>
    <t>Pruebas de integración</t>
  </si>
  <si>
    <t>rep2</t>
  </si>
  <si>
    <t>Pruebas</t>
  </si>
  <si>
    <t>Pruebas locales completas</t>
  </si>
  <si>
    <t>test1</t>
  </si>
  <si>
    <t>Pruebas en sitio con cliente real</t>
  </si>
  <si>
    <t>test2</t>
  </si>
  <si>
    <t>Ajustes finales</t>
  </si>
  <si>
    <t>fix</t>
  </si>
  <si>
    <t>Lanzamiento</t>
  </si>
  <si>
    <t>Preparación de MVP</t>
  </si>
  <si>
    <t>mvp1</t>
  </si>
  <si>
    <t>🎯 Lanzamiento MVP MesaGo</t>
  </si>
  <si>
    <t>Hito</t>
  </si>
  <si>
    <t>mvp2</t>
  </si>
  <si>
    <t>📋 Plan de Desarrollo MesaGo – MVP Mayo 2026</t>
  </si>
  <si>
    <t>Días Restantes</t>
  </si>
  <si>
    <t>Indicador</t>
  </si>
  <si>
    <t>📊 RESUMEN DEL PROYECTO</t>
  </si>
  <si>
    <t>Total de Tareas:</t>
  </si>
  <si>
    <t>Completadas:</t>
  </si>
  <si>
    <t>En Progreso:</t>
  </si>
  <si>
    <t>Pendientes:</t>
  </si>
  <si>
    <t>Hitos:</t>
  </si>
  <si>
    <t>% Completado Global:</t>
  </si>
  <si>
    <t>Fecha Inicio Proyecto:</t>
  </si>
  <si>
    <t>Fecha Fin Proyecto:</t>
  </si>
  <si>
    <t>Duración Total (días):</t>
  </si>
  <si>
    <t>📈 PROGRESO POR SECCIÓN</t>
  </si>
  <si>
    <t>Tareas</t>
  </si>
  <si>
    <t>% Avance</t>
  </si>
  <si>
    <t>Fecha estimada</t>
  </si>
  <si>
    <t>Días</t>
  </si>
  <si>
    <t>Fecha estimada original</t>
  </si>
  <si>
    <t>Se concluye la planeación</t>
  </si>
  <si>
    <t>plan</t>
  </si>
  <si>
    <t>Fecha real</t>
  </si>
  <si>
    <t>📊 Diagrama de Gantt - MesaGo MVP Mayo 2026</t>
  </si>
  <si>
    <t>Tarea</t>
  </si>
  <si>
    <t>Estado</t>
  </si>
  <si>
    <t>Fecha Inicio</t>
  </si>
  <si>
    <t>Duración</t>
  </si>
  <si>
    <t>LÍNEA DE TIEMPO (Semanas del Proyecto)</t>
  </si>
  <si>
    <t>Inicio Proyecto</t>
  </si>
  <si>
    <t>📌 LEYENDA:</t>
  </si>
  <si>
    <t>✓ Verde = Completado</t>
  </si>
  <si>
    <t>▶ Amarillo = En Progreso</t>
  </si>
  <si>
    <t>● Azul = Pendiente</t>
  </si>
  <si>
    <t>🎯 = Hito</t>
  </si>
  <si>
    <t>Nueva fecha estimada</t>
  </si>
  <si>
    <t>📅 INFORMACIÓN DEL PROYECTO</t>
  </si>
  <si>
    <t>Fecha Inicio:</t>
  </si>
  <si>
    <t>Fecha Fin Estimada:</t>
  </si>
  <si>
    <t>Total Tareas:</t>
  </si>
  <si>
    <t>% Avance Global:</t>
  </si>
  <si>
    <t>Dic-3</t>
  </si>
  <si>
    <t>Dic-4</t>
  </si>
  <si>
    <t>Ene-1</t>
  </si>
  <si>
    <t>Ene-2</t>
  </si>
  <si>
    <t>Ene-3</t>
  </si>
  <si>
    <t>Ene-4</t>
  </si>
  <si>
    <t>Abr-1</t>
  </si>
  <si>
    <t>Abr-2</t>
  </si>
  <si>
    <t>Abr-3</t>
  </si>
  <si>
    <t>Abr-4</t>
  </si>
  <si>
    <t>📍 Columna en ROJO = Semana actual (21/04/2026)</t>
  </si>
  <si>
    <t>Etiqueta</t>
  </si>
  <si>
    <t>Estatus</t>
  </si>
  <si>
    <t>Descripción</t>
  </si>
  <si>
    <t>📅 Última Actualización:</t>
  </si>
  <si>
    <t>📈 Avance MVP:</t>
  </si>
  <si>
    <t>📈 Avance Total:</t>
  </si>
  <si>
    <t>📊 DASHBOARD DE AVANCE - PROYECTO MESAGO</t>
  </si>
  <si>
    <t>Última Actualización: 03/06/2026 | Fecha Original Análisis: 31/05/2026</t>
  </si>
  <si>
    <t>📈 RESUMEN EJECUTIVO</t>
  </si>
  <si>
    <t>Métrica</t>
  </si>
  <si>
    <t>Valor</t>
  </si>
  <si>
    <t>Avance Total del Proyecto</t>
  </si>
  <si>
    <t>Avance MVP Básico</t>
  </si>
  <si>
    <t>Días Transcurridos</t>
  </si>
  <si>
    <t>Días Restantes (Est. Original)</t>
  </si>
  <si>
    <t>Tareas Completadas</t>
  </si>
  <si>
    <t>Tareas En Progreso</t>
  </si>
  <si>
    <t>Tareas Pendientes</t>
  </si>
  <si>
    <t>Total Tareas</t>
  </si>
  <si>
    <t>📊 AVANCE POR COMPONENTE (Ponderado)</t>
  </si>
  <si>
    <t>Componente</t>
  </si>
  <si>
    <t>Peso</t>
  </si>
  <si>
    <t>Avance</t>
  </si>
  <si>
    <t>Contribución</t>
  </si>
  <si>
    <t>Barra</t>
  </si>
  <si>
    <t>Backend API (.NET 8)</t>
  </si>
  <si>
    <t>Panel WEB Admin</t>
  </si>
  <si>
    <t>PWA Meseros</t>
  </si>
  <si>
    <t>Pantalla Cocina</t>
  </si>
  <si>
    <t>Backend Avanzado</t>
  </si>
  <si>
    <t>Testing y QA</t>
  </si>
  <si>
    <t>DevOps</t>
  </si>
  <si>
    <t>TOTAL</t>
  </si>
  <si>
    <t>📅 REGISTRO DE FECHAS DE EJECUCIÓN</t>
  </si>
  <si>
    <t>Fecha</t>
  </si>
  <si>
    <t>Tarea Ejecutada</t>
  </si>
  <si>
    <t>% Logrado</t>
  </si>
  <si>
    <t>Notas</t>
  </si>
  <si>
    <t>15/12/2025</t>
  </si>
  <si>
    <t>Planeación</t>
  </si>
  <si>
    <t>Revisión de requerimientos</t>
  </si>
  <si>
    <t>Inicio del proyecto</t>
  </si>
  <si>
    <t>22/12/2025</t>
  </si>
  <si>
    <t>Diseño arquitectónico v6.0-6.2</t>
  </si>
  <si>
    <t>Diseño BD local</t>
  </si>
  <si>
    <t>13/01/2026</t>
  </si>
  <si>
    <t>Backend</t>
  </si>
  <si>
    <t>Alta de Establecimientos</t>
  </si>
  <si>
    <t>API + WEB</t>
  </si>
  <si>
    <t>14/01/2026</t>
  </si>
  <si>
    <t>Server</t>
  </si>
  <si>
    <t>Creación servidor Ubuntu</t>
  </si>
  <si>
    <t>Infraestructura</t>
  </si>
  <si>
    <t>Cifrado acceso BD</t>
  </si>
  <si>
    <t>Seguridad implementada</t>
  </si>
  <si>
    <t>31/05/2026</t>
  </si>
  <si>
    <t>CRUD Roles completo</t>
  </si>
  <si>
    <t>Backend terminado</t>
  </si>
  <si>
    <t>WEB Admin</t>
  </si>
  <si>
    <t>Login + Layout</t>
  </si>
  <si>
    <t>En progreso</t>
  </si>
  <si>
    <t>⏱️ ESTIMACIÓN DE TRABAJO RESTANTE</t>
  </si>
  <si>
    <t>Fase</t>
  </si>
  <si>
    <t>Período</t>
  </si>
  <si>
    <t>Meta Avance</t>
  </si>
  <si>
    <t>Tareas Clave</t>
  </si>
  <si>
    <t>Corto Plazo</t>
  </si>
  <si>
    <t>1-2 meses</t>
  </si>
  <si>
    <t>40-50%</t>
  </si>
  <si>
    <t>Panel WEB completo, APIs faltantes, PWA básico</t>
  </si>
  <si>
    <t>🔴 En riesgo</t>
  </si>
  <si>
    <t>Mediano Plazo</t>
  </si>
  <si>
    <t>3-4 meses</t>
  </si>
  <si>
    <t>70-80%</t>
  </si>
  <si>
    <t>PWA Meseros, Pantalla Cocina, SignalR</t>
  </si>
  <si>
    <t>⚪ Pendiente</t>
  </si>
  <si>
    <t>Largo Plazo</t>
  </si>
  <si>
    <t>5-6 meses</t>
  </si>
  <si>
    <t>Integraciones, Testing, Instalador, Docs</t>
  </si>
  <si>
    <t>🎯 PRIORIDADES PARA MVP (50%)</t>
  </si>
  <si>
    <t>#</t>
  </si>
  <si>
    <t>Prioridad</t>
  </si>
  <si>
    <t>Funcionalidad</t>
  </si>
  <si>
    <t>Criticidad</t>
  </si>
  <si>
    <t>CRÍTICO</t>
  </si>
  <si>
    <t>CRUD Mesas (backend + frontend + QR)</t>
  </si>
  <si>
    <t>⭐⭐⭐</t>
  </si>
  <si>
    <t>❌ Pendiente</t>
  </si>
  <si>
    <t>CRUD Categorías y Productos</t>
  </si>
  <si>
    <t>Sistema de Órdenes (crear, estados)</t>
  </si>
  <si>
    <t>PWA Cliente básico (menú, carrito, orden)</t>
  </si>
  <si>
    <t>Pantalla Cocina básica</t>
  </si>
  <si>
    <t>IMPORTANTE</t>
  </si>
  <si>
    <t>PWA Meseros básico</t>
  </si>
  <si>
    <t>⭐⭐</t>
  </si>
  <si>
    <t>SignalR (tiempo real cocina)</t>
  </si>
  <si>
    <t>Cantidad</t>
  </si>
  <si>
    <t>Completado (15%)</t>
  </si>
  <si>
    <t>MVP Restante (10%)</t>
  </si>
  <si>
    <t>Restante (75%)</t>
  </si>
  <si>
    <t>Backend API</t>
  </si>
  <si>
    <t>Panel WEB</t>
  </si>
  <si>
    <t>Testing</t>
  </si>
  <si>
    <t>21/12/2025</t>
  </si>
  <si>
    <t>22/04/2026</t>
  </si>
  <si>
    <t>📅 Actualizado: 03/06/2026 | Avance real según análisis detallado</t>
  </si>
  <si>
    <t>📅 CONTROL DE FECHAS EJECUTADAS</t>
  </si>
  <si>
    <t>Fecha Completada</t>
  </si>
  <si>
    <t>Días Tomados</t>
  </si>
  <si>
    <t>Revisión requerimientos</t>
  </si>
  <si>
    <t>Diseño arquitectónico</t>
  </si>
  <si>
    <t>31/12/2025</t>
  </si>
  <si>
    <t>Alta Establecimientos</t>
  </si>
  <si>
    <t>Servidor Ubuntu</t>
  </si>
  <si>
    <t>Cifrado BD</t>
  </si>
  <si>
    <t>Llave acceso</t>
  </si>
  <si>
    <t>Usuario mesago</t>
  </si>
  <si>
    <t>CRUD Roles (Backend)</t>
  </si>
  <si>
    <t>N/A</t>
  </si>
  <si>
    <t>🎯 INDICADORES CLAVE DE DESEMPEÑO (KPIs)</t>
  </si>
  <si>
    <t>KPI</t>
  </si>
  <si>
    <t>Objetivo</t>
  </si>
  <si>
    <t>Actual</t>
  </si>
  <si>
    <t>Tendencia</t>
  </si>
  <si>
    <t>Avance Total</t>
  </si>
  <si>
    <t>🔴 Bajo</t>
  </si>
  <si>
    <t>→ Estable</t>
  </si>
  <si>
    <t>Avance MVP</t>
  </si>
  <si>
    <t>🟡 Medio</t>
  </si>
  <si>
    <t>↗ Mejorando</t>
  </si>
  <si>
    <t>🔴 Alto</t>
  </si>
  <si>
    <t>↗ Aumentando</t>
  </si>
  <si>
    <t>Velocidad (tareas/mes)</t>
  </si>
  <si>
    <t>📌 RESUMEN: El proyecto MesaGo tiene un avance real del 15% (25% del MVP). Los fundamentos están sólidos pero falta la mayor parte de funcionalidad core. Se recomienda priorizar las 7 tareas críticas para alcanzar MVP funcional al 50%.</t>
  </si>
  <si>
    <t>Mes</t>
  </si>
  <si>
    <t>Avance Esperado</t>
  </si>
  <si>
    <t>Avance Real</t>
  </si>
  <si>
    <t>Dic 2025</t>
  </si>
  <si>
    <t>Ene 2026</t>
  </si>
  <si>
    <t>Abr 2026</t>
  </si>
  <si>
    <t>CANCELADO</t>
  </si>
  <si>
    <t>❌</t>
  </si>
  <si>
    <t>WEB Local - Dashboard</t>
  </si>
  <si>
    <t>web4</t>
  </si>
  <si>
    <t>web5</t>
  </si>
  <si>
    <t>WEB Local - Administración de Productos</t>
  </si>
  <si>
    <t>WEB Local - Administración de Categorías</t>
  </si>
  <si>
    <t>Feb 2026</t>
  </si>
  <si>
    <t>Mar 2026</t>
  </si>
  <si>
    <t>May 2026</t>
  </si>
  <si>
    <t>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</si>
</sst>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4E1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305496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medium">
        <color auto="1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medium">
        <color auto="1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medium">
        <color auto="1"/>
      </bottom>
      <diagonal/>
    </border>
    <border>
      <left style="medium">
        <color auto="1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14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5" xfId="0" applyFont="1" applyBorder="1"/>
    <xf numFmtId="0" fontId="1" fillId="0" borderId="6" xfId="0" applyFont="1" applyBorder="1"/>
    <xf numFmtId="9" fontId="0" fillId="0" borderId="8" xfId="0" applyNumberFormat="1" applyBorder="1"/>
    <xf numFmtId="14" fontId="0" fillId="0" borderId="8" xfId="0" applyNumberFormat="1" applyBorder="1"/>
    <xf numFmtId="0" fontId="0" fillId="4" borderId="5" xfId="0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5" xfId="0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5" xfId="0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0" fillId="7" borderId="5" xfId="0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8" borderId="5" xfId="0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0" fillId="9" borderId="5" xfId="0" applyFill="1" applyBorder="1"/>
    <xf numFmtId="0" fontId="0" fillId="9" borderId="1" xfId="0" applyFill="1" applyBorder="1"/>
    <xf numFmtId="14" fontId="0" fillId="9" borderId="1" xfId="0" applyNumberFormat="1" applyFill="1" applyBorder="1"/>
    <xf numFmtId="0" fontId="0" fillId="10" borderId="5" xfId="0" applyFill="1" applyBorder="1"/>
    <xf numFmtId="0" fontId="0" fillId="10" borderId="1" xfId="0" applyFill="1" applyBorder="1"/>
    <xf numFmtId="14" fontId="0" fillId="10" borderId="1" xfId="0" applyNumberFormat="1" applyFill="1" applyBorder="1"/>
    <xf numFmtId="0" fontId="0" fillId="11" borderId="5" xfId="0" applyFill="1" applyBorder="1"/>
    <xf numFmtId="0" fontId="0" fillId="11" borderId="1" xfId="0" applyFill="1" applyBorder="1"/>
    <xf numFmtId="14" fontId="0" fillId="11" borderId="1" xfId="0" applyNumberFormat="1" applyFill="1" applyBorder="1"/>
    <xf numFmtId="0" fontId="0" fillId="12" borderId="5" xfId="0" applyFill="1" applyBorder="1"/>
    <xf numFmtId="0" fontId="0" fillId="12" borderId="1" xfId="0" applyFill="1" applyBorder="1"/>
    <xf numFmtId="14" fontId="0" fillId="12" borderId="1" xfId="0" applyNumberFormat="1" applyFill="1" applyBorder="1"/>
    <xf numFmtId="0" fontId="0" fillId="13" borderId="5" xfId="0" applyFill="1" applyBorder="1"/>
    <xf numFmtId="0" fontId="0" fillId="13" borderId="1" xfId="0" applyFill="1" applyBorder="1"/>
    <xf numFmtId="14" fontId="0" fillId="13" borderId="1" xfId="0" applyNumberFormat="1" applyFill="1" applyBorder="1"/>
    <xf numFmtId="0" fontId="0" fillId="13" borderId="6" xfId="0" applyFill="1" applyBorder="1"/>
    <xf numFmtId="0" fontId="0" fillId="13" borderId="3" xfId="0" applyFill="1" applyBorder="1"/>
    <xf numFmtId="14" fontId="0" fillId="13" borderId="3" xfId="0" applyNumberForma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9" fontId="0" fillId="9" borderId="1" xfId="0" applyNumberFormat="1" applyFill="1" applyBorder="1" applyAlignment="1">
      <alignment horizontal="center"/>
    </xf>
    <xf numFmtId="9" fontId="0" fillId="10" borderId="1" xfId="0" applyNumberFormat="1" applyFill="1" applyBorder="1" applyAlignment="1">
      <alignment horizontal="center"/>
    </xf>
    <xf numFmtId="9" fontId="0" fillId="11" borderId="1" xfId="0" applyNumberFormat="1" applyFill="1" applyBorder="1" applyAlignment="1">
      <alignment horizontal="center"/>
    </xf>
    <xf numFmtId="9" fontId="0" fillId="12" borderId="1" xfId="0" applyNumberFormat="1" applyFill="1" applyBorder="1" applyAlignment="1">
      <alignment horizontal="center"/>
    </xf>
    <xf numFmtId="9" fontId="0" fillId="13" borderId="1" xfId="0" applyNumberFormat="1" applyFill="1" applyBorder="1" applyAlignment="1">
      <alignment horizontal="center"/>
    </xf>
    <xf numFmtId="9" fontId="0" fillId="13" borderId="3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2" fillId="2" borderId="1" xfId="0" applyFont="1" applyFill="1" applyBorder="1"/>
    <xf numFmtId="0" fontId="0" fillId="0" borderId="3" xfId="0" applyBorder="1" applyAlignment="1">
      <alignment horizontal="center"/>
    </xf>
    <xf numFmtId="0" fontId="2" fillId="2" borderId="5" xfId="0" applyFont="1" applyFill="1" applyBorder="1"/>
    <xf numFmtId="0" fontId="2" fillId="2" borderId="8" xfId="0" applyFont="1" applyFill="1" applyBorder="1"/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3" fillId="16" borderId="0" xfId="0" applyFont="1" applyFill="1" applyAlignment="1">
      <alignment horizontal="center"/>
    </xf>
    <xf numFmtId="0" fontId="1" fillId="0" borderId="0" xfId="0" applyFont="1"/>
    <xf numFmtId="0" fontId="2" fillId="17" borderId="0" xfId="0" applyFont="1" applyFill="1"/>
    <xf numFmtId="14" fontId="0" fillId="0" borderId="0" xfId="0" applyNumberFormat="1"/>
    <xf numFmtId="9" fontId="0" fillId="0" borderId="0" xfId="0" applyNumberFormat="1"/>
    <xf numFmtId="0" fontId="6" fillId="0" borderId="0" xfId="0" applyFont="1" applyAlignment="1">
      <alignment horizontal="center"/>
    </xf>
    <xf numFmtId="0" fontId="7" fillId="0" borderId="0" xfId="0" applyFont="1"/>
    <xf numFmtId="0" fontId="8" fillId="14" borderId="0" xfId="0" applyFont="1" applyFill="1"/>
    <xf numFmtId="0" fontId="9" fillId="15" borderId="0" xfId="0" applyFont="1" applyFill="1"/>
    <xf numFmtId="0" fontId="8" fillId="17" borderId="0" xfId="0" applyFont="1" applyFill="1"/>
    <xf numFmtId="0" fontId="10" fillId="8" borderId="0" xfId="0" applyFont="1" applyFill="1"/>
    <xf numFmtId="0" fontId="5" fillId="18" borderId="0" xfId="0" applyFont="1" applyFill="1" applyAlignment="1">
      <alignment horizontal="center"/>
    </xf>
    <xf numFmtId="16" fontId="5" fillId="18" borderId="0" xfId="0" applyNumberFormat="1" applyFont="1" applyFill="1" applyAlignment="1">
      <alignment horizontal="center"/>
    </xf>
    <xf numFmtId="0" fontId="11" fillId="19" borderId="0" xfId="0" applyFont="1" applyFill="1" applyAlignment="1">
      <alignment horizontal="center"/>
    </xf>
    <xf numFmtId="0" fontId="12" fillId="0" borderId="0" xfId="0" applyFont="1"/>
    <xf numFmtId="0" fontId="3" fillId="8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4" xfId="0" applyFont="1" applyFill="1" applyBorder="1"/>
    <xf numFmtId="0" fontId="0" fillId="0" borderId="7" xfId="0" applyBorder="1"/>
    <xf numFmtId="0" fontId="0" fillId="0" borderId="0" xfId="0"/>
    <xf numFmtId="0" fontId="1" fillId="0" borderId="2" xfId="0" applyFont="1" applyBorder="1"/>
    <xf numFmtId="0" fontId="1" fillId="0" borderId="7" xfId="0" applyFont="1" applyBorder="1"/>
    <xf numFmtId="0" fontId="2" fillId="14" borderId="0" xfId="0" applyFont="1" applyFill="1" applyAlignment="1">
      <alignment horizontal="center"/>
    </xf>
    <xf numFmtId="0" fontId="2" fillId="14" borderId="0" xfId="0" applyFont="1" applyFill="1"/>
    <xf numFmtId="0" fontId="3" fillId="16" borderId="0" xfId="0" applyFont="1" applyFill="1" applyAlignment="1">
      <alignment horizontal="center"/>
    </xf>
    <xf numFmtId="0" fontId="0" fillId="0" borderId="10" xfId="0" applyFill="1" applyBorder="1"/>
    <xf numFmtId="9" fontId="0" fillId="0" borderId="11" xfId="0" applyNumberForma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2" fillId="2" borderId="0" xfId="0" applyFont="1" applyFill="1"/>
    <xf numFmtId="0" fontId="1" fillId="20" borderId="0" xfId="0" applyFont="1" applyFill="1"/>
    <xf numFmtId="0" fontId="1" fillId="21" borderId="0" xfId="0" applyFont="1" applyFill="1"/>
    <xf numFmtId="10" fontId="0" fillId="0" borderId="0" xfId="0" applyNumberFormat="1"/>
    <xf numFmtId="9" fontId="1" fillId="21" borderId="0" xfId="0" applyNumberFormat="1" applyFont="1" applyFill="1"/>
    <xf numFmtId="10" fontId="1" fillId="21" borderId="0" xfId="0" applyNumberFormat="1" applyFont="1" applyFill="1"/>
    <xf numFmtId="0" fontId="2" fillId="22" borderId="0" xfId="0" applyFont="1" applyFill="1"/>
    <xf numFmtId="0" fontId="1" fillId="23" borderId="12" xfId="0" applyFont="1" applyFill="1" applyBorder="1"/>
    <xf numFmtId="0" fontId="0" fillId="0" borderId="12" xfId="0" applyBorder="1"/>
    <xf numFmtId="9" fontId="0" fillId="0" borderId="12" xfId="0" applyNumberFormat="1" applyBorder="1"/>
    <xf numFmtId="14" fontId="0" fillId="0" borderId="12" xfId="0" applyNumberFormat="1" applyBorder="1"/>
    <xf numFmtId="0" fontId="2" fillId="24" borderId="0" xfId="0" applyFont="1" applyFill="1"/>
    <xf numFmtId="0" fontId="1" fillId="7" borderId="0" xfId="0" applyFont="1" applyFill="1"/>
    <xf numFmtId="0" fontId="2" fillId="25" borderId="0" xfId="0" applyFont="1" applyFill="1"/>
    <xf numFmtId="0" fontId="1" fillId="26" borderId="12" xfId="0" applyFont="1" applyFill="1" applyBorder="1"/>
    <xf numFmtId="0" fontId="15" fillId="0" borderId="0" xfId="0" applyFont="1"/>
    <xf numFmtId="0" fontId="2" fillId="27" borderId="0" xfId="0" applyFont="1" applyFill="1"/>
    <xf numFmtId="0" fontId="1" fillId="20" borderId="12" xfId="0" applyFont="1" applyFill="1" applyBorder="1"/>
    <xf numFmtId="0" fontId="14" fillId="0" borderId="0" xfId="0" applyFont="1" applyAlignment="1">
      <alignment wrapText="1"/>
    </xf>
    <xf numFmtId="14" fontId="0" fillId="0" borderId="12" xfId="0" applyNumberFormat="1" applyBorder="1" applyAlignment="1">
      <alignment horizontal="left"/>
    </xf>
    <xf numFmtId="0" fontId="0" fillId="0" borderId="0" xfId="0" quotePrefix="1"/>
    <xf numFmtId="17" fontId="0" fillId="0" borderId="0" xfId="0" quotePrefix="1" applyNumberFormat="1"/>
  </cellXfs>
  <cellStyles count="1">
    <cellStyle name="Normal" xfId="0" builtinId="0"/>
  </cellStyles>
  <dxfs count="11">
    <dxf>
      <font>
        <color rgb="FFFFFFFF"/>
      </font>
      <fill>
        <patternFill patternType="solid">
          <fgColor indexed="64"/>
          <bgColor rgb="FF5B9BD5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70AD47"/>
        </patternFill>
      </fill>
    </dxf>
    <dxf>
      <font>
        <color rgb="FF7030A0"/>
      </font>
      <fill>
        <patternFill patternType="solid">
          <fgColor indexed="64"/>
          <bgColor rgb="FFE2D5F1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Avance por Componente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Dashboard!$A$17:$A$25</c:f>
              <c:strCache>
                <c:ptCount val="9"/>
                <c:pt idx="0">
                  <c:v>Backend API (.NET 8)</c:v>
                </c:pt>
                <c:pt idx="1">
                  <c:v>Panel WEB Admin</c:v>
                </c:pt>
                <c:pt idx="2">
                  <c:v>PWA Cliente</c:v>
                </c:pt>
                <c:pt idx="3">
                  <c:v>PWA Meseros</c:v>
                </c:pt>
                <c:pt idx="4">
                  <c:v>Pantalla Cocina</c:v>
                </c:pt>
                <c:pt idx="5">
                  <c:v>Backend Avanzado</c:v>
                </c:pt>
                <c:pt idx="6">
                  <c:v>Integraciones</c:v>
                </c:pt>
                <c:pt idx="7">
                  <c:v>Testing y QA</c:v>
                </c:pt>
                <c:pt idx="8">
                  <c:v>DevOps</c:v>
                </c:pt>
              </c:strCache>
            </c:strRef>
          </c:cat>
          <c:val>
            <c:numRef>
              <c:f>Dashboard!$C$17:$C$25</c:f>
              <c:numCache>
                <c:formatCode>0%</c:formatCode>
                <c:ptCount val="9"/>
                <c:pt idx="0">
                  <c:v>0.35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5-46E5-A7DB-7496315FD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1949791"/>
        <c:axId val="1304439840"/>
      </c:barChart>
      <c:catAx>
        <c:axId val="107194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4439840"/>
        <c:crosses val="autoZero"/>
        <c:auto val="1"/>
        <c:lblAlgn val="ctr"/>
        <c:lblOffset val="100"/>
        <c:noMultiLvlLbl val="0"/>
      </c:catAx>
      <c:valAx>
        <c:axId val="1304439840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1949791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Estado General del Proyecto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Dashboard!$M$5:$M$7</c:f>
              <c:strCache>
                <c:ptCount val="3"/>
                <c:pt idx="0">
                  <c:v>Completado (15%)</c:v>
                </c:pt>
                <c:pt idx="1">
                  <c:v>MVP Restante (10%)</c:v>
                </c:pt>
                <c:pt idx="2">
                  <c:v>Restante (75%)</c:v>
                </c:pt>
              </c:strCache>
            </c:strRef>
          </c:cat>
          <c:val>
            <c:numRef>
              <c:f>Dashboard!$N$5:$N$7</c:f>
              <c:numCache>
                <c:formatCode>General</c:formatCode>
                <c:ptCount val="3"/>
                <c:pt idx="0">
                  <c:v>15</c:v>
                </c:pt>
                <c:pt idx="1">
                  <c:v>10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A-49EC-A8F1-215E66AB6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Contribución al Avance Total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Dashboard!$M$27:$M$35</c:f>
              <c:strCache>
                <c:ptCount val="9"/>
                <c:pt idx="0">
                  <c:v>Backend API</c:v>
                </c:pt>
                <c:pt idx="1">
                  <c:v>Panel WEB</c:v>
                </c:pt>
                <c:pt idx="2">
                  <c:v>PWA Cliente</c:v>
                </c:pt>
                <c:pt idx="3">
                  <c:v>PWA Meseros</c:v>
                </c:pt>
                <c:pt idx="4">
                  <c:v>Pantalla Cocina</c:v>
                </c:pt>
                <c:pt idx="5">
                  <c:v>Backend Avanzado</c:v>
                </c:pt>
                <c:pt idx="6">
                  <c:v>Integraciones</c:v>
                </c:pt>
                <c:pt idx="7">
                  <c:v>Testing</c:v>
                </c:pt>
                <c:pt idx="8">
                  <c:v>DevOps</c:v>
                </c:pt>
              </c:strCache>
            </c:strRef>
          </c:cat>
          <c:val>
            <c:numRef>
              <c:f>Dashboard!$N$27:$N$35</c:f>
              <c:numCache>
                <c:formatCode>General</c:formatCode>
                <c:ptCount val="9"/>
                <c:pt idx="0">
                  <c:v>8.75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5-42C8-9536-9D0CF63A9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482175"/>
        <c:axId val="1074487935"/>
      </c:barChart>
      <c:catAx>
        <c:axId val="10744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4487935"/>
        <c:crosses val="autoZero"/>
        <c:auto val="1"/>
        <c:lblAlgn val="ctr"/>
        <c:lblOffset val="100"/>
        <c:noMultiLvlLbl val="0"/>
      </c:catAx>
      <c:valAx>
        <c:axId val="1074487935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448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Avance Esperado vs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Esperado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Dashboard!$M$38:$M$44</c:f>
              <c:strCache>
                <c:ptCount val="7"/>
                <c:pt idx="0">
                  <c:v>Dic 2025</c:v>
                </c:pt>
                <c:pt idx="1">
                  <c:v>Ene 2026</c:v>
                </c:pt>
                <c:pt idx="2">
                  <c:v>Feb 2026</c:v>
                </c:pt>
                <c:pt idx="3">
                  <c:v>Mar 2026</c:v>
                </c:pt>
                <c:pt idx="4">
                  <c:v>Abr 2026</c:v>
                </c:pt>
                <c:pt idx="5">
                  <c:v>May 2026</c:v>
                </c:pt>
                <c:pt idx="6">
                  <c:v>Jun 2026</c:v>
                </c:pt>
              </c:strCache>
            </c:strRef>
          </c:cat>
          <c:val>
            <c:numRef>
              <c:f>Dashboard!$N$38:$N$44</c:f>
              <c:numCache>
                <c:formatCode>0%</c:formatCode>
                <c:ptCount val="7"/>
                <c:pt idx="0">
                  <c:v>0.05</c:v>
                </c:pt>
                <c:pt idx="1">
                  <c:v>0.15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0.85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9-4720-8E66-BB52880B5C76}"/>
            </c:ext>
          </c:extLst>
        </c:ser>
        <c:ser>
          <c:idx val="1"/>
          <c:order val="1"/>
          <c:tx>
            <c:v>Real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Dashboard!$M$38:$M$44</c:f>
              <c:strCache>
                <c:ptCount val="7"/>
                <c:pt idx="0">
                  <c:v>Dic 2025</c:v>
                </c:pt>
                <c:pt idx="1">
                  <c:v>Ene 2026</c:v>
                </c:pt>
                <c:pt idx="2">
                  <c:v>Feb 2026</c:v>
                </c:pt>
                <c:pt idx="3">
                  <c:v>Mar 2026</c:v>
                </c:pt>
                <c:pt idx="4">
                  <c:v>Abr 2026</c:v>
                </c:pt>
                <c:pt idx="5">
                  <c:v>May 2026</c:v>
                </c:pt>
                <c:pt idx="6">
                  <c:v>Jun 2026</c:v>
                </c:pt>
              </c:strCache>
            </c:strRef>
          </c:cat>
          <c:val>
            <c:numRef>
              <c:f>Dashboard!$O$38:$O$44</c:f>
              <c:numCache>
                <c:formatCode>0%</c:formatCode>
                <c:ptCount val="7"/>
                <c:pt idx="0">
                  <c:v>0.05</c:v>
                </c:pt>
                <c:pt idx="1">
                  <c:v>0.1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B9-4720-8E66-BB52880B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875215"/>
        <c:axId val="2133873775"/>
      </c:lineChart>
      <c:catAx>
        <c:axId val="21338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3873775"/>
        <c:crosses val="autoZero"/>
        <c:auto val="1"/>
        <c:lblAlgn val="ctr"/>
        <c:lblOffset val="100"/>
        <c:noMultiLvlLbl val="0"/>
      </c:catAx>
      <c:valAx>
        <c:axId val="21338737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38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55245</xdr:rowOff>
    </xdr:from>
    <xdr:to>
      <xdr:col>5</xdr:col>
      <xdr:colOff>5715</xdr:colOff>
      <xdr:row>50</xdr:row>
      <xdr:rowOff>93345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8F7F2B-8EA4-8897-80DD-259E9C103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</xdr:colOff>
      <xdr:row>8</xdr:row>
      <xdr:rowOff>19049</xdr:rowOff>
    </xdr:from>
    <xdr:to>
      <xdr:col>17</xdr:col>
      <xdr:colOff>11430</xdr:colOff>
      <xdr:row>24</xdr:row>
      <xdr:rowOff>47624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490539-BCDE-E7CC-CAA0-19E64636C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11430</xdr:colOff>
      <xdr:row>28</xdr:row>
      <xdr:rowOff>57150</xdr:rowOff>
    </xdr:from>
    <xdr:to>
      <xdr:col>11</xdr:col>
      <xdr:colOff>3810</xdr:colOff>
      <xdr:row>43</xdr:row>
      <xdr:rowOff>83820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D94807-B95F-1B67-BE39-0E83E92D6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1905</xdr:colOff>
      <xdr:row>45</xdr:row>
      <xdr:rowOff>95249</xdr:rowOff>
    </xdr:from>
    <xdr:to>
      <xdr:col>17</xdr:col>
      <xdr:colOff>11430</xdr:colOff>
      <xdr:row>60</xdr:row>
      <xdr:rowOff>118109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BE3F11-58CC-58F5-8AC7-8A8CC2562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17D1-CF16-4564-BBA2-9B03B50232AC}">
  <dimension ref="A1:P51"/>
  <sheetViews>
    <sheetView tabSelected="1" workbookViewId="0">
      <pane ySplit="2" topLeftCell="A3" activePane="bottomLeft" state="frozen"/>
      <selection pane="bottomLeft" activeCell="B13" sqref="B13"/>
    </sheetView>
  </sheetViews>
  <sheetFormatPr baseColWidth="10" defaultRowHeight="14.4" x14ac:dyDescent="0.3"/>
  <cols>
    <col min="1" max="1" width="22.21875" customWidth="1"/>
    <col min="2" max="2" width="51.88671875" customWidth="1"/>
    <col min="3" max="3" width="16.6640625" customWidth="1"/>
    <col min="4" max="4" width="11.109375" customWidth="1"/>
    <col min="5" max="5" width="20.88671875" bestFit="1" customWidth="1"/>
    <col min="6" max="6" width="20.88671875" customWidth="1"/>
    <col min="7" max="7" width="18.5546875" customWidth="1"/>
    <col min="8" max="8" width="16.6640625" customWidth="1"/>
    <col min="9" max="9" width="20.44140625" bestFit="1" customWidth="1"/>
    <col min="10" max="11" width="18.5546875" customWidth="1"/>
    <col min="12" max="12" width="16.6640625" customWidth="1"/>
    <col min="14" max="14" width="25.88671875" customWidth="1"/>
    <col min="15" max="16" width="14.77734375" customWidth="1"/>
  </cols>
  <sheetData>
    <row r="1" spans="1:16" ht="30" customHeight="1" thickBot="1" x14ac:dyDescent="0.45">
      <c r="A1" s="102" t="s">
        <v>102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6" ht="22.05" customHeight="1" x14ac:dyDescent="0.3">
      <c r="A2" s="2" t="s">
        <v>0</v>
      </c>
      <c r="B2" s="2" t="s">
        <v>155</v>
      </c>
      <c r="C2" s="2" t="s">
        <v>154</v>
      </c>
      <c r="D2" s="2" t="s">
        <v>153</v>
      </c>
      <c r="E2" s="2" t="s">
        <v>120</v>
      </c>
      <c r="F2" s="2" t="s">
        <v>123</v>
      </c>
      <c r="G2" s="2" t="s">
        <v>119</v>
      </c>
      <c r="H2" s="2" t="s">
        <v>118</v>
      </c>
      <c r="I2" s="2" t="s">
        <v>136</v>
      </c>
      <c r="J2" s="2" t="s">
        <v>3</v>
      </c>
      <c r="K2" s="2" t="s">
        <v>103</v>
      </c>
      <c r="L2" s="5" t="s">
        <v>104</v>
      </c>
      <c r="N2" s="103" t="s">
        <v>105</v>
      </c>
      <c r="O2" s="104"/>
      <c r="P2" s="105"/>
    </row>
    <row r="3" spans="1:16" ht="19.95" customHeight="1" x14ac:dyDescent="0.3">
      <c r="A3" s="12" t="s">
        <v>1</v>
      </c>
      <c r="B3" s="13" t="s">
        <v>2</v>
      </c>
      <c r="C3" s="45" t="s">
        <v>3</v>
      </c>
      <c r="D3" s="45" t="s">
        <v>4</v>
      </c>
      <c r="E3" s="1">
        <v>46006</v>
      </c>
      <c r="F3" s="1"/>
      <c r="G3" s="45">
        <v>7</v>
      </c>
      <c r="H3" s="1">
        <v>46012</v>
      </c>
      <c r="I3" s="1"/>
      <c r="J3" s="57">
        <v>1</v>
      </c>
      <c r="K3" s="45">
        <f t="shared" ref="K3:K51" ca="1" si="0">IF(OR(C3="Completado",C3="Hito"),0,MAX(0,H3-TODAY()))</f>
        <v>0</v>
      </c>
      <c r="L3" s="69" t="str">
        <f t="shared" ref="L3:L51" ca="1" si="1">IF(C3="Completado","✅",IF(C3="Hito","🎯",IF(C3="En Progreso","🔄",IF(H3&lt;TODAY(),"⚠️ Atrasado","⏳"))))</f>
        <v>✅</v>
      </c>
      <c r="N3" s="8" t="s">
        <v>106</v>
      </c>
      <c r="O3" s="6">
        <f>COUNTA(C3:C51)</f>
        <v>45</v>
      </c>
    </row>
    <row r="4" spans="1:16" ht="19.95" customHeight="1" x14ac:dyDescent="0.3">
      <c r="A4" s="12" t="s">
        <v>1</v>
      </c>
      <c r="B4" s="13" t="s">
        <v>5</v>
      </c>
      <c r="C4" s="46" t="s">
        <v>3</v>
      </c>
      <c r="D4" s="46" t="s">
        <v>6</v>
      </c>
      <c r="E4" s="14">
        <v>46013</v>
      </c>
      <c r="F4" s="14">
        <v>46013</v>
      </c>
      <c r="G4" s="46">
        <v>10</v>
      </c>
      <c r="H4" s="14">
        <v>46022</v>
      </c>
      <c r="I4" s="14"/>
      <c r="J4" s="58">
        <v>1</v>
      </c>
      <c r="K4" s="46">
        <f t="shared" ca="1" si="0"/>
        <v>0</v>
      </c>
      <c r="L4" s="70" t="str">
        <f t="shared" ca="1" si="1"/>
        <v>✅</v>
      </c>
      <c r="N4" s="8" t="s">
        <v>107</v>
      </c>
      <c r="O4" s="6">
        <f>COUNTIF(C3:C51,"Completado")</f>
        <v>10</v>
      </c>
    </row>
    <row r="5" spans="1:16" ht="19.95" customHeight="1" x14ac:dyDescent="0.3">
      <c r="A5" s="12" t="s">
        <v>1</v>
      </c>
      <c r="B5" s="13" t="s">
        <v>7</v>
      </c>
      <c r="C5" s="46" t="s">
        <v>3</v>
      </c>
      <c r="D5" s="46" t="s">
        <v>8</v>
      </c>
      <c r="E5" s="14">
        <v>46023</v>
      </c>
      <c r="F5" s="14">
        <v>46023</v>
      </c>
      <c r="G5" s="46">
        <v>7</v>
      </c>
      <c r="H5" s="14">
        <v>46029</v>
      </c>
      <c r="I5" s="14"/>
      <c r="J5" s="58">
        <v>1</v>
      </c>
      <c r="K5" s="46">
        <f t="shared" ca="1" si="0"/>
        <v>0</v>
      </c>
      <c r="L5" s="70" t="str">
        <f t="shared" ca="1" si="1"/>
        <v>✅</v>
      </c>
      <c r="N5" s="8" t="s">
        <v>108</v>
      </c>
      <c r="O5" s="6">
        <f>COUNTIF(C3:C51,"En Progreso")</f>
        <v>5</v>
      </c>
    </row>
    <row r="6" spans="1:16" ht="19.95" customHeight="1" x14ac:dyDescent="0.3">
      <c r="A6" s="12" t="s">
        <v>1</v>
      </c>
      <c r="B6" s="13" t="s">
        <v>9</v>
      </c>
      <c r="C6" s="46" t="s">
        <v>293</v>
      </c>
      <c r="D6" s="46" t="s">
        <v>11</v>
      </c>
      <c r="E6" s="14">
        <v>46037</v>
      </c>
      <c r="F6" s="14"/>
      <c r="G6" s="46">
        <v>7</v>
      </c>
      <c r="H6" s="14">
        <v>46043</v>
      </c>
      <c r="I6" s="14"/>
      <c r="J6" s="58">
        <v>0</v>
      </c>
      <c r="K6" s="46">
        <f t="shared" ca="1" si="0"/>
        <v>0</v>
      </c>
      <c r="L6" s="70" t="s">
        <v>294</v>
      </c>
      <c r="N6" s="8" t="s">
        <v>109</v>
      </c>
      <c r="O6" s="6">
        <f>COUNTIF(C3:C51,"Pendiente")</f>
        <v>22</v>
      </c>
    </row>
    <row r="7" spans="1:16" ht="19.95" customHeight="1" x14ac:dyDescent="0.3">
      <c r="A7" s="12" t="s">
        <v>1</v>
      </c>
      <c r="B7" s="13" t="s">
        <v>13</v>
      </c>
      <c r="C7" s="46" t="s">
        <v>3</v>
      </c>
      <c r="D7" s="46" t="s">
        <v>14</v>
      </c>
      <c r="E7" s="14">
        <v>46035</v>
      </c>
      <c r="F7" s="14"/>
      <c r="G7" s="46">
        <v>1</v>
      </c>
      <c r="H7" s="14">
        <v>46035</v>
      </c>
      <c r="I7" s="14"/>
      <c r="J7" s="58">
        <v>1</v>
      </c>
      <c r="K7" s="46">
        <f t="shared" ca="1" si="0"/>
        <v>0</v>
      </c>
      <c r="L7" s="70" t="str">
        <f t="shared" ca="1" si="1"/>
        <v>✅</v>
      </c>
      <c r="N7" s="8" t="s">
        <v>110</v>
      </c>
      <c r="O7" s="10">
        <f>COUNTIF(C3:C51,"Hito")</f>
        <v>2</v>
      </c>
    </row>
    <row r="8" spans="1:16" ht="19.95" customHeight="1" x14ac:dyDescent="0.3">
      <c r="A8" s="12" t="s">
        <v>1</v>
      </c>
      <c r="B8" s="13" t="s">
        <v>121</v>
      </c>
      <c r="C8" s="46" t="s">
        <v>100</v>
      </c>
      <c r="D8" s="46" t="s">
        <v>122</v>
      </c>
      <c r="E8" s="14"/>
      <c r="F8" s="14"/>
      <c r="G8" s="46">
        <v>0</v>
      </c>
      <c r="H8" s="14">
        <v>46134</v>
      </c>
      <c r="I8" s="14"/>
      <c r="J8" s="58">
        <v>0</v>
      </c>
      <c r="K8" s="46">
        <f t="shared" ca="1" si="0"/>
        <v>0</v>
      </c>
      <c r="L8" s="70" t="str">
        <f t="shared" ca="1" si="1"/>
        <v>🎯</v>
      </c>
      <c r="N8" s="8"/>
      <c r="O8" s="10"/>
    </row>
    <row r="9" spans="1:16" ht="19.95" customHeight="1" x14ac:dyDescent="0.3">
      <c r="A9" s="15" t="s">
        <v>12</v>
      </c>
      <c r="B9" s="16" t="s">
        <v>15</v>
      </c>
      <c r="C9" s="46" t="s">
        <v>3</v>
      </c>
      <c r="D9" s="47" t="s">
        <v>14</v>
      </c>
      <c r="E9" s="17">
        <v>46036</v>
      </c>
      <c r="F9" s="17">
        <v>45808</v>
      </c>
      <c r="G9" s="47">
        <v>9</v>
      </c>
      <c r="H9" s="17">
        <v>46044</v>
      </c>
      <c r="I9" s="17"/>
      <c r="J9" s="59">
        <v>1</v>
      </c>
      <c r="K9" s="47">
        <f t="shared" ca="1" si="0"/>
        <v>0</v>
      </c>
      <c r="L9" s="71" t="str">
        <f t="shared" ca="1" si="1"/>
        <v>✅</v>
      </c>
      <c r="N9" s="8"/>
      <c r="O9" s="6"/>
    </row>
    <row r="10" spans="1:16" ht="19.95" customHeight="1" x14ac:dyDescent="0.3">
      <c r="A10" s="15" t="s">
        <v>12</v>
      </c>
      <c r="B10" s="16" t="s">
        <v>295</v>
      </c>
      <c r="C10" s="47" t="s">
        <v>10</v>
      </c>
      <c r="D10" s="47" t="s">
        <v>16</v>
      </c>
      <c r="E10" s="17"/>
      <c r="F10" s="17"/>
      <c r="G10" s="47"/>
      <c r="H10" s="17"/>
      <c r="I10" s="17"/>
      <c r="J10" s="59">
        <v>0.5</v>
      </c>
      <c r="K10" s="47"/>
      <c r="L10" s="71"/>
      <c r="N10" s="8"/>
      <c r="O10" s="6"/>
    </row>
    <row r="11" spans="1:16" ht="19.95" customHeight="1" x14ac:dyDescent="0.3">
      <c r="A11" s="15" t="s">
        <v>12</v>
      </c>
      <c r="B11" s="16" t="s">
        <v>298</v>
      </c>
      <c r="C11" s="46"/>
      <c r="D11" s="47" t="s">
        <v>18</v>
      </c>
      <c r="E11" s="17"/>
      <c r="F11" s="17"/>
      <c r="G11" s="47"/>
      <c r="H11" s="17"/>
      <c r="I11" s="17"/>
      <c r="J11" s="59"/>
      <c r="K11" s="47"/>
      <c r="L11" s="71"/>
      <c r="N11" s="8"/>
      <c r="O11" s="6"/>
    </row>
    <row r="12" spans="1:16" ht="19.95" customHeight="1" x14ac:dyDescent="0.3">
      <c r="A12" s="15" t="s">
        <v>12</v>
      </c>
      <c r="B12" s="16" t="s">
        <v>299</v>
      </c>
      <c r="C12" s="46"/>
      <c r="D12" s="47" t="s">
        <v>296</v>
      </c>
      <c r="E12" s="17"/>
      <c r="F12" s="17"/>
      <c r="G12" s="47"/>
      <c r="H12" s="17"/>
      <c r="I12" s="17"/>
      <c r="J12" s="59"/>
      <c r="K12" s="47"/>
      <c r="L12" s="71"/>
      <c r="N12" s="8"/>
      <c r="O12" s="6"/>
    </row>
    <row r="13" spans="1:16" ht="19.95" customHeight="1" x14ac:dyDescent="0.3">
      <c r="A13" s="15" t="s">
        <v>12</v>
      </c>
      <c r="B13" s="16" t="s">
        <v>17</v>
      </c>
      <c r="C13" s="47" t="s">
        <v>10</v>
      </c>
      <c r="D13" s="47" t="s">
        <v>297</v>
      </c>
      <c r="E13" s="17">
        <v>46036</v>
      </c>
      <c r="F13" s="17"/>
      <c r="G13" s="47">
        <v>9</v>
      </c>
      <c r="H13" s="17">
        <v>46044</v>
      </c>
      <c r="I13" s="17"/>
      <c r="J13" s="59">
        <v>0.3</v>
      </c>
      <c r="K13" s="47">
        <f t="shared" ca="1" si="0"/>
        <v>0</v>
      </c>
      <c r="L13" s="71" t="str">
        <f t="shared" ca="1" si="1"/>
        <v>🔄</v>
      </c>
      <c r="N13" s="8" t="s">
        <v>111</v>
      </c>
      <c r="O13" s="10">
        <v>0.15</v>
      </c>
    </row>
    <row r="14" spans="1:16" ht="19.95" customHeight="1" x14ac:dyDescent="0.3">
      <c r="A14" s="15"/>
      <c r="B14" s="16"/>
      <c r="C14" s="47"/>
      <c r="D14" s="47"/>
      <c r="E14" s="17"/>
      <c r="F14" s="17"/>
      <c r="G14" s="47"/>
      <c r="H14" s="17"/>
      <c r="I14" s="17"/>
      <c r="J14" s="59"/>
      <c r="K14" s="47"/>
      <c r="L14" s="71"/>
      <c r="N14" s="8"/>
      <c r="O14" s="10"/>
    </row>
    <row r="15" spans="1:16" ht="19.95" customHeight="1" x14ac:dyDescent="0.3">
      <c r="A15" s="15" t="s">
        <v>12</v>
      </c>
      <c r="B15" s="16" t="s">
        <v>20</v>
      </c>
      <c r="C15" s="47" t="s">
        <v>3</v>
      </c>
      <c r="D15" s="47" t="s">
        <v>21</v>
      </c>
      <c r="E15" s="17">
        <v>46035</v>
      </c>
      <c r="F15" s="17"/>
      <c r="G15" s="47">
        <v>1</v>
      </c>
      <c r="H15" s="17">
        <v>46035</v>
      </c>
      <c r="I15" s="17"/>
      <c r="J15" s="59">
        <v>1</v>
      </c>
      <c r="K15" s="47">
        <f t="shared" ca="1" si="0"/>
        <v>0</v>
      </c>
      <c r="L15" s="71" t="str">
        <f t="shared" ca="1" si="1"/>
        <v>✅</v>
      </c>
      <c r="N15" s="8"/>
      <c r="O15" s="11"/>
    </row>
    <row r="16" spans="1:16" ht="19.95" customHeight="1" x14ac:dyDescent="0.3">
      <c r="A16" s="18" t="s">
        <v>19</v>
      </c>
      <c r="B16" s="19" t="s">
        <v>22</v>
      </c>
      <c r="C16" s="48" t="s">
        <v>3</v>
      </c>
      <c r="D16" s="48" t="s">
        <v>23</v>
      </c>
      <c r="E16" s="20">
        <v>46036</v>
      </c>
      <c r="F16" s="20"/>
      <c r="G16" s="48">
        <v>1</v>
      </c>
      <c r="H16" s="20">
        <v>46036</v>
      </c>
      <c r="I16" s="20"/>
      <c r="J16" s="60">
        <v>1</v>
      </c>
      <c r="K16" s="48">
        <f t="shared" ca="1" si="0"/>
        <v>0</v>
      </c>
      <c r="L16" s="72" t="str">
        <f t="shared" ca="1" si="1"/>
        <v>✅</v>
      </c>
      <c r="N16" s="8" t="s">
        <v>112</v>
      </c>
      <c r="O16" s="11">
        <f>MIN(E3:E51)</f>
        <v>46006</v>
      </c>
    </row>
    <row r="17" spans="1:16" ht="19.95" customHeight="1" x14ac:dyDescent="0.3">
      <c r="A17" s="18" t="s">
        <v>19</v>
      </c>
      <c r="B17" s="19" t="s">
        <v>24</v>
      </c>
      <c r="C17" s="48" t="s">
        <v>10</v>
      </c>
      <c r="D17" s="48" t="s">
        <v>25</v>
      </c>
      <c r="E17" s="20">
        <v>46036</v>
      </c>
      <c r="F17" s="20"/>
      <c r="G17" s="48">
        <v>9</v>
      </c>
      <c r="H17" s="20">
        <v>46044</v>
      </c>
      <c r="I17" s="20"/>
      <c r="J17" s="60">
        <v>0.5</v>
      </c>
      <c r="K17" s="48">
        <f t="shared" ca="1" si="0"/>
        <v>0</v>
      </c>
      <c r="L17" s="72" t="str">
        <f t="shared" ca="1" si="1"/>
        <v>🔄</v>
      </c>
      <c r="N17" s="8" t="s">
        <v>113</v>
      </c>
      <c r="O17" s="11">
        <f>MAX(H3:H51)</f>
        <v>46134</v>
      </c>
    </row>
    <row r="18" spans="1:16" ht="19.95" customHeight="1" thickBot="1" x14ac:dyDescent="0.35">
      <c r="A18" s="18" t="s">
        <v>19</v>
      </c>
      <c r="B18" s="19" t="s">
        <v>26</v>
      </c>
      <c r="C18" s="48" t="s">
        <v>10</v>
      </c>
      <c r="D18" s="48" t="s">
        <v>27</v>
      </c>
      <c r="E18" s="20">
        <v>46036</v>
      </c>
      <c r="F18" s="20"/>
      <c r="G18" s="48">
        <v>9</v>
      </c>
      <c r="H18" s="20">
        <v>46044</v>
      </c>
      <c r="I18" s="20"/>
      <c r="J18" s="60">
        <v>0.3</v>
      </c>
      <c r="K18" s="48">
        <f t="shared" ca="1" si="0"/>
        <v>0</v>
      </c>
      <c r="L18" s="72" t="str">
        <f t="shared" ca="1" si="1"/>
        <v>🔄</v>
      </c>
      <c r="N18" s="9" t="s">
        <v>114</v>
      </c>
      <c r="O18" s="7">
        <f>MAX(H3:H51)-MIN(E3:E51)+1</f>
        <v>129</v>
      </c>
    </row>
    <row r="19" spans="1:16" ht="19.95" customHeight="1" thickBot="1" x14ac:dyDescent="0.35">
      <c r="A19" s="18" t="s">
        <v>19</v>
      </c>
      <c r="B19" s="19" t="s">
        <v>28</v>
      </c>
      <c r="C19" s="48" t="s">
        <v>29</v>
      </c>
      <c r="D19" s="48" t="s">
        <v>30</v>
      </c>
      <c r="E19" s="20">
        <v>46034</v>
      </c>
      <c r="F19" s="20"/>
      <c r="G19" s="48">
        <v>7</v>
      </c>
      <c r="H19" s="20">
        <v>46040</v>
      </c>
      <c r="I19" s="20"/>
      <c r="J19" s="60">
        <v>0</v>
      </c>
      <c r="K19" s="48">
        <f t="shared" ca="1" si="0"/>
        <v>0</v>
      </c>
      <c r="L19" s="72" t="str">
        <f t="shared" ca="1" si="1"/>
        <v>⚠️ Atrasado</v>
      </c>
    </row>
    <row r="20" spans="1:16" ht="19.95" customHeight="1" x14ac:dyDescent="0.3">
      <c r="A20" s="18" t="s">
        <v>19</v>
      </c>
      <c r="B20" s="19" t="s">
        <v>31</v>
      </c>
      <c r="C20" s="48" t="s">
        <v>29</v>
      </c>
      <c r="D20" s="48" t="s">
        <v>32</v>
      </c>
      <c r="E20" s="20">
        <v>46041</v>
      </c>
      <c r="F20" s="20"/>
      <c r="G20" s="48">
        <v>5</v>
      </c>
      <c r="H20" s="20">
        <v>46045</v>
      </c>
      <c r="I20" s="20"/>
      <c r="J20" s="60">
        <v>0</v>
      </c>
      <c r="K20" s="48">
        <f t="shared" ca="1" si="0"/>
        <v>0</v>
      </c>
      <c r="L20" s="72" t="str">
        <f t="shared" ca="1" si="1"/>
        <v>⚠️ Atrasado</v>
      </c>
      <c r="N20" s="103" t="s">
        <v>115</v>
      </c>
      <c r="O20" s="106"/>
      <c r="P20" s="107"/>
    </row>
    <row r="21" spans="1:16" ht="19.95" customHeight="1" x14ac:dyDescent="0.3">
      <c r="A21" s="18" t="s">
        <v>19</v>
      </c>
      <c r="B21" s="19" t="s">
        <v>33</v>
      </c>
      <c r="C21" s="48" t="s">
        <v>29</v>
      </c>
      <c r="D21" s="48" t="s">
        <v>34</v>
      </c>
      <c r="E21" s="20">
        <v>46046</v>
      </c>
      <c r="F21" s="20"/>
      <c r="G21" s="48">
        <v>4</v>
      </c>
      <c r="H21" s="20">
        <v>46049</v>
      </c>
      <c r="I21" s="20"/>
      <c r="J21" s="60">
        <v>0</v>
      </c>
      <c r="K21" s="48">
        <f t="shared" ca="1" si="0"/>
        <v>0</v>
      </c>
      <c r="L21" s="72" t="str">
        <f t="shared" ca="1" si="1"/>
        <v>⚠️ Atrasado</v>
      </c>
      <c r="N21" s="82" t="s">
        <v>0</v>
      </c>
      <c r="O21" s="80" t="s">
        <v>116</v>
      </c>
      <c r="P21" s="83" t="s">
        <v>117</v>
      </c>
    </row>
    <row r="22" spans="1:16" ht="19.95" customHeight="1" x14ac:dyDescent="0.3">
      <c r="A22" s="18" t="s">
        <v>19</v>
      </c>
      <c r="B22" s="19" t="s">
        <v>35</v>
      </c>
      <c r="C22" s="48" t="s">
        <v>29</v>
      </c>
      <c r="D22" s="48" t="s">
        <v>36</v>
      </c>
      <c r="E22" s="20">
        <v>46050</v>
      </c>
      <c r="F22" s="20"/>
      <c r="G22" s="48">
        <v>4</v>
      </c>
      <c r="H22" s="20">
        <v>46053</v>
      </c>
      <c r="I22" s="20"/>
      <c r="J22" s="60">
        <v>0</v>
      </c>
      <c r="K22" s="48">
        <f t="shared" ca="1" si="0"/>
        <v>0</v>
      </c>
      <c r="L22" s="72" t="str">
        <f t="shared" ca="1" si="1"/>
        <v>⚠️ Atrasado</v>
      </c>
      <c r="N22" s="3" t="s">
        <v>1</v>
      </c>
      <c r="O22" s="45">
        <v>6</v>
      </c>
      <c r="P22" s="84">
        <v>0.75</v>
      </c>
    </row>
    <row r="23" spans="1:16" ht="19.95" customHeight="1" x14ac:dyDescent="0.3">
      <c r="A23" s="18" t="s">
        <v>19</v>
      </c>
      <c r="B23" s="19" t="s">
        <v>37</v>
      </c>
      <c r="C23" s="48" t="s">
        <v>29</v>
      </c>
      <c r="D23" s="48" t="s">
        <v>38</v>
      </c>
      <c r="E23" s="20">
        <v>46054</v>
      </c>
      <c r="F23" s="20"/>
      <c r="G23" s="48">
        <v>7</v>
      </c>
      <c r="H23" s="20">
        <v>46060</v>
      </c>
      <c r="I23" s="20"/>
      <c r="J23" s="60">
        <v>0</v>
      </c>
      <c r="K23" s="48">
        <f t="shared" ca="1" si="0"/>
        <v>0</v>
      </c>
      <c r="L23" s="72" t="str">
        <f t="shared" ca="1" si="1"/>
        <v>⚠️ Atrasado</v>
      </c>
      <c r="N23" s="3" t="s">
        <v>12</v>
      </c>
      <c r="O23" s="45">
        <v>3</v>
      </c>
      <c r="P23" s="84">
        <v>0.2</v>
      </c>
    </row>
    <row r="24" spans="1:16" ht="19.95" customHeight="1" x14ac:dyDescent="0.3">
      <c r="A24" s="18" t="s">
        <v>19</v>
      </c>
      <c r="B24" s="19" t="s">
        <v>40</v>
      </c>
      <c r="C24" s="48" t="s">
        <v>3</v>
      </c>
      <c r="D24" s="48" t="s">
        <v>41</v>
      </c>
      <c r="E24" s="20">
        <v>46036</v>
      </c>
      <c r="F24" s="20"/>
      <c r="G24" s="48">
        <v>1</v>
      </c>
      <c r="H24" s="20">
        <v>46036</v>
      </c>
      <c r="I24" s="20"/>
      <c r="J24" s="60">
        <v>1</v>
      </c>
      <c r="K24" s="48">
        <f t="shared" ca="1" si="0"/>
        <v>0</v>
      </c>
      <c r="L24" s="72" t="str">
        <f t="shared" ca="1" si="1"/>
        <v>✅</v>
      </c>
      <c r="N24" s="3" t="s">
        <v>19</v>
      </c>
      <c r="O24" s="45">
        <v>9</v>
      </c>
      <c r="P24" s="84">
        <v>0.35</v>
      </c>
    </row>
    <row r="25" spans="1:16" ht="19.95" customHeight="1" x14ac:dyDescent="0.3">
      <c r="A25" s="21" t="s">
        <v>39</v>
      </c>
      <c r="B25" s="22" t="s">
        <v>42</v>
      </c>
      <c r="C25" s="49" t="s">
        <v>3</v>
      </c>
      <c r="D25" s="49" t="s">
        <v>43</v>
      </c>
      <c r="E25" s="23">
        <v>46036</v>
      </c>
      <c r="F25" s="23"/>
      <c r="G25" s="49">
        <v>1</v>
      </c>
      <c r="H25" s="23">
        <v>46036</v>
      </c>
      <c r="I25" s="23"/>
      <c r="J25" s="61">
        <v>1</v>
      </c>
      <c r="K25" s="49">
        <f t="shared" ca="1" si="0"/>
        <v>0</v>
      </c>
      <c r="L25" s="73" t="str">
        <f t="shared" ca="1" si="1"/>
        <v>✅</v>
      </c>
      <c r="N25" s="3" t="s">
        <v>39</v>
      </c>
      <c r="O25" s="45">
        <v>4</v>
      </c>
      <c r="P25" s="84">
        <v>0.63</v>
      </c>
    </row>
    <row r="26" spans="1:16" ht="19.95" customHeight="1" x14ac:dyDescent="0.3">
      <c r="A26" s="21" t="s">
        <v>39</v>
      </c>
      <c r="B26" s="22" t="s">
        <v>44</v>
      </c>
      <c r="C26" s="49" t="s">
        <v>3</v>
      </c>
      <c r="D26" s="49" t="s">
        <v>45</v>
      </c>
      <c r="E26" s="23">
        <v>46036</v>
      </c>
      <c r="F26" s="23"/>
      <c r="G26" s="49">
        <v>1</v>
      </c>
      <c r="H26" s="23">
        <v>46036</v>
      </c>
      <c r="I26" s="23"/>
      <c r="J26" s="61">
        <v>1</v>
      </c>
      <c r="K26" s="49">
        <f t="shared" ca="1" si="0"/>
        <v>0</v>
      </c>
      <c r="L26" s="73" t="str">
        <f t="shared" ca="1" si="1"/>
        <v>✅</v>
      </c>
      <c r="N26" s="3" t="s">
        <v>48</v>
      </c>
      <c r="O26" s="45">
        <v>5</v>
      </c>
      <c r="P26" s="84">
        <v>0</v>
      </c>
    </row>
    <row r="27" spans="1:16" ht="19.95" customHeight="1" x14ac:dyDescent="0.3">
      <c r="A27" s="21" t="s">
        <v>39</v>
      </c>
      <c r="B27" s="22" t="s">
        <v>46</v>
      </c>
      <c r="C27" s="49" t="s">
        <v>10</v>
      </c>
      <c r="D27" s="49" t="s">
        <v>47</v>
      </c>
      <c r="E27" s="23">
        <v>46038</v>
      </c>
      <c r="F27" s="23"/>
      <c r="G27" s="49">
        <v>7</v>
      </c>
      <c r="H27" s="23">
        <v>46044</v>
      </c>
      <c r="I27" s="23"/>
      <c r="J27" s="61">
        <v>0.5</v>
      </c>
      <c r="K27" s="49">
        <f t="shared" ca="1" si="0"/>
        <v>0</v>
      </c>
      <c r="L27" s="73" t="str">
        <f t="shared" ca="1" si="1"/>
        <v>🔄</v>
      </c>
      <c r="N27" s="3" t="s">
        <v>59</v>
      </c>
      <c r="O27" s="45">
        <v>5</v>
      </c>
      <c r="P27" s="84">
        <v>0.05</v>
      </c>
    </row>
    <row r="28" spans="1:16" ht="19.95" customHeight="1" x14ac:dyDescent="0.3">
      <c r="A28" s="21" t="s">
        <v>39</v>
      </c>
      <c r="B28" s="22" t="s">
        <v>49</v>
      </c>
      <c r="C28" s="49" t="s">
        <v>29</v>
      </c>
      <c r="D28" s="49" t="s">
        <v>50</v>
      </c>
      <c r="E28" s="23">
        <v>46032</v>
      </c>
      <c r="F28" s="23"/>
      <c r="G28" s="49">
        <v>7</v>
      </c>
      <c r="H28" s="23">
        <v>46038</v>
      </c>
      <c r="I28" s="23"/>
      <c r="J28" s="61">
        <v>0</v>
      </c>
      <c r="K28" s="49">
        <f t="shared" ca="1" si="0"/>
        <v>0</v>
      </c>
      <c r="L28" s="73" t="str">
        <f t="shared" ca="1" si="1"/>
        <v>⚠️ Atrasado</v>
      </c>
      <c r="N28" s="3" t="s">
        <v>70</v>
      </c>
      <c r="O28" s="45">
        <v>4</v>
      </c>
      <c r="P28" s="84">
        <v>0</v>
      </c>
    </row>
    <row r="29" spans="1:16" ht="19.95" customHeight="1" x14ac:dyDescent="0.3">
      <c r="A29" s="24" t="s">
        <v>48</v>
      </c>
      <c r="B29" s="25" t="s">
        <v>51</v>
      </c>
      <c r="C29" s="46" t="s">
        <v>293</v>
      </c>
      <c r="D29" s="50" t="s">
        <v>52</v>
      </c>
      <c r="E29" s="26">
        <v>46039</v>
      </c>
      <c r="F29" s="26"/>
      <c r="G29" s="50">
        <v>7</v>
      </c>
      <c r="H29" s="26">
        <v>46045</v>
      </c>
      <c r="I29" s="26"/>
      <c r="J29" s="62">
        <v>0</v>
      </c>
      <c r="K29" s="50">
        <f t="shared" ca="1" si="0"/>
        <v>0</v>
      </c>
      <c r="L29" s="50" t="s">
        <v>294</v>
      </c>
      <c r="N29" s="3" t="s">
        <v>79</v>
      </c>
      <c r="O29" s="45">
        <v>2</v>
      </c>
      <c r="P29" s="84">
        <v>0</v>
      </c>
    </row>
    <row r="30" spans="1:16" ht="19.95" customHeight="1" x14ac:dyDescent="0.3">
      <c r="A30" s="24" t="s">
        <v>48</v>
      </c>
      <c r="B30" s="25" t="s">
        <v>53</v>
      </c>
      <c r="C30" s="46" t="s">
        <v>293</v>
      </c>
      <c r="D30" s="50" t="s">
        <v>54</v>
      </c>
      <c r="E30" s="26">
        <v>46046</v>
      </c>
      <c r="F30" s="26"/>
      <c r="G30" s="50">
        <v>7</v>
      </c>
      <c r="H30" s="26">
        <v>46052</v>
      </c>
      <c r="I30" s="26"/>
      <c r="J30" s="62">
        <v>0</v>
      </c>
      <c r="K30" s="50">
        <f t="shared" ca="1" si="0"/>
        <v>0</v>
      </c>
      <c r="L30" s="50" t="s">
        <v>294</v>
      </c>
      <c r="N30" s="3" t="s">
        <v>84</v>
      </c>
      <c r="O30" s="45">
        <v>2</v>
      </c>
      <c r="P30" s="84">
        <v>0</v>
      </c>
    </row>
    <row r="31" spans="1:16" ht="19.95" customHeight="1" x14ac:dyDescent="0.3">
      <c r="A31" s="24" t="s">
        <v>48</v>
      </c>
      <c r="B31" s="25" t="s">
        <v>55</v>
      </c>
      <c r="C31" s="46" t="s">
        <v>293</v>
      </c>
      <c r="D31" s="50" t="s">
        <v>56</v>
      </c>
      <c r="E31" s="26">
        <v>46053</v>
      </c>
      <c r="F31" s="26"/>
      <c r="G31" s="50">
        <v>5</v>
      </c>
      <c r="H31" s="26">
        <v>46057</v>
      </c>
      <c r="I31" s="26"/>
      <c r="J31" s="62">
        <v>0</v>
      </c>
      <c r="K31" s="50">
        <f t="shared" ca="1" si="0"/>
        <v>0</v>
      </c>
      <c r="L31" s="50" t="s">
        <v>294</v>
      </c>
      <c r="N31" s="3" t="s">
        <v>89</v>
      </c>
      <c r="O31" s="45">
        <v>3</v>
      </c>
      <c r="P31" s="84">
        <v>0.05</v>
      </c>
    </row>
    <row r="32" spans="1:16" ht="19.95" customHeight="1" x14ac:dyDescent="0.3">
      <c r="A32" s="24" t="s">
        <v>48</v>
      </c>
      <c r="B32" s="25" t="s">
        <v>57</v>
      </c>
      <c r="C32" s="46" t="s">
        <v>293</v>
      </c>
      <c r="D32" s="50" t="s">
        <v>58</v>
      </c>
      <c r="E32" s="26">
        <v>46058</v>
      </c>
      <c r="F32" s="26"/>
      <c r="G32" s="50">
        <v>5</v>
      </c>
      <c r="H32" s="26">
        <v>46062</v>
      </c>
      <c r="I32" s="26"/>
      <c r="J32" s="62">
        <v>0</v>
      </c>
      <c r="K32" s="50">
        <f t="shared" ca="1" si="0"/>
        <v>0</v>
      </c>
      <c r="L32" s="50" t="s">
        <v>294</v>
      </c>
      <c r="N32" s="3" t="s">
        <v>96</v>
      </c>
      <c r="O32" s="45">
        <v>2</v>
      </c>
      <c r="P32" s="84">
        <v>1</v>
      </c>
    </row>
    <row r="33" spans="1:16" ht="19.95" customHeight="1" thickBot="1" x14ac:dyDescent="0.35">
      <c r="A33" s="24" t="s">
        <v>48</v>
      </c>
      <c r="B33" s="25" t="s">
        <v>60</v>
      </c>
      <c r="C33" s="46" t="s">
        <v>293</v>
      </c>
      <c r="D33" s="50" t="s">
        <v>61</v>
      </c>
      <c r="E33" s="26">
        <v>46027</v>
      </c>
      <c r="F33" s="26"/>
      <c r="G33" s="50">
        <v>7</v>
      </c>
      <c r="H33" s="26">
        <v>46033</v>
      </c>
      <c r="I33" s="26"/>
      <c r="J33" s="62">
        <v>0.05</v>
      </c>
      <c r="K33" s="50">
        <f t="shared" ca="1" si="0"/>
        <v>0</v>
      </c>
      <c r="L33" s="50" t="s">
        <v>294</v>
      </c>
      <c r="N33" s="4"/>
      <c r="O33" s="81"/>
      <c r="P33" s="85"/>
    </row>
    <row r="34" spans="1:16" ht="19.95" customHeight="1" x14ac:dyDescent="0.3">
      <c r="A34" s="27" t="s">
        <v>59</v>
      </c>
      <c r="B34" s="28" t="s">
        <v>62</v>
      </c>
      <c r="C34" s="51" t="s">
        <v>29</v>
      </c>
      <c r="D34" s="51" t="s">
        <v>63</v>
      </c>
      <c r="E34" s="29">
        <v>46034</v>
      </c>
      <c r="F34" s="29"/>
      <c r="G34" s="51">
        <v>7</v>
      </c>
      <c r="H34" s="29">
        <v>46040</v>
      </c>
      <c r="I34" s="29"/>
      <c r="J34" s="63">
        <v>0</v>
      </c>
      <c r="K34" s="51">
        <f t="shared" ca="1" si="0"/>
        <v>0</v>
      </c>
      <c r="L34" s="74" t="str">
        <f t="shared" ca="1" si="1"/>
        <v>⚠️ Atrasado</v>
      </c>
      <c r="N34" s="111" t="s">
        <v>156</v>
      </c>
      <c r="O34" s="89">
        <v>46087</v>
      </c>
    </row>
    <row r="35" spans="1:16" ht="19.95" customHeight="1" x14ac:dyDescent="0.3">
      <c r="A35" s="27" t="s">
        <v>59</v>
      </c>
      <c r="B35" s="28" t="s">
        <v>64</v>
      </c>
      <c r="C35" s="51" t="s">
        <v>29</v>
      </c>
      <c r="D35" s="51" t="s">
        <v>65</v>
      </c>
      <c r="E35" s="29">
        <v>46041</v>
      </c>
      <c r="F35" s="29"/>
      <c r="G35" s="51">
        <v>5</v>
      </c>
      <c r="H35" s="29">
        <v>46045</v>
      </c>
      <c r="I35" s="29"/>
      <c r="J35" s="63">
        <v>0</v>
      </c>
      <c r="K35" s="51">
        <f t="shared" ca="1" si="0"/>
        <v>0</v>
      </c>
      <c r="L35" s="74" t="str">
        <f t="shared" ca="1" si="1"/>
        <v>⚠️ Atrasado</v>
      </c>
      <c r="N35" s="111" t="s">
        <v>157</v>
      </c>
      <c r="O35" s="112">
        <v>0.25</v>
      </c>
    </row>
    <row r="36" spans="1:16" ht="19.95" customHeight="1" x14ac:dyDescent="0.3">
      <c r="A36" s="27" t="s">
        <v>59</v>
      </c>
      <c r="B36" s="28" t="s">
        <v>66</v>
      </c>
      <c r="C36" s="51" t="s">
        <v>29</v>
      </c>
      <c r="D36" s="51" t="s">
        <v>67</v>
      </c>
      <c r="E36" s="29">
        <v>46046</v>
      </c>
      <c r="F36" s="29"/>
      <c r="G36" s="51">
        <v>5</v>
      </c>
      <c r="H36" s="29">
        <v>46050</v>
      </c>
      <c r="I36" s="29"/>
      <c r="J36" s="63">
        <v>0</v>
      </c>
      <c r="K36" s="51">
        <f t="shared" ca="1" si="0"/>
        <v>0</v>
      </c>
      <c r="L36" s="74" t="str">
        <f t="shared" ca="1" si="1"/>
        <v>⚠️ Atrasado</v>
      </c>
      <c r="N36" s="111" t="s">
        <v>158</v>
      </c>
      <c r="O36" s="112">
        <v>0.15</v>
      </c>
    </row>
    <row r="37" spans="1:16" ht="19.95" customHeight="1" x14ac:dyDescent="0.3">
      <c r="A37" s="27" t="s">
        <v>59</v>
      </c>
      <c r="B37" s="28" t="s">
        <v>68</v>
      </c>
      <c r="C37" s="51" t="s">
        <v>29</v>
      </c>
      <c r="D37" s="51" t="s">
        <v>69</v>
      </c>
      <c r="E37" s="29">
        <v>46051</v>
      </c>
      <c r="F37" s="29"/>
      <c r="G37" s="51">
        <v>5</v>
      </c>
      <c r="H37" s="29">
        <v>46055</v>
      </c>
      <c r="I37" s="29"/>
      <c r="J37" s="63">
        <v>0</v>
      </c>
      <c r="K37" s="51">
        <f t="shared" ca="1" si="0"/>
        <v>0</v>
      </c>
      <c r="L37" s="74" t="str">
        <f t="shared" ca="1" si="1"/>
        <v>⚠️ Atrasado</v>
      </c>
    </row>
    <row r="38" spans="1:16" ht="19.95" customHeight="1" x14ac:dyDescent="0.3">
      <c r="A38" s="27" t="s">
        <v>59</v>
      </c>
      <c r="B38" s="28" t="s">
        <v>71</v>
      </c>
      <c r="C38" s="51" t="s">
        <v>29</v>
      </c>
      <c r="D38" s="51" t="s">
        <v>72</v>
      </c>
      <c r="E38" s="29">
        <v>46032</v>
      </c>
      <c r="F38" s="29"/>
      <c r="G38" s="51">
        <v>7</v>
      </c>
      <c r="H38" s="29">
        <v>46038</v>
      </c>
      <c r="I38" s="29"/>
      <c r="J38" s="63">
        <v>0</v>
      </c>
      <c r="K38" s="51">
        <f t="shared" ca="1" si="0"/>
        <v>0</v>
      </c>
      <c r="L38" s="74" t="str">
        <f t="shared" ca="1" si="1"/>
        <v>⚠️ Atrasado</v>
      </c>
      <c r="N38" s="121" t="s">
        <v>259</v>
      </c>
      <c r="O38" s="105"/>
      <c r="P38" s="105"/>
    </row>
    <row r="39" spans="1:16" ht="19.95" customHeight="1" x14ac:dyDescent="0.3">
      <c r="A39" s="30" t="s">
        <v>70</v>
      </c>
      <c r="B39" s="31" t="s">
        <v>73</v>
      </c>
      <c r="C39" s="52" t="s">
        <v>29</v>
      </c>
      <c r="D39" s="52" t="s">
        <v>74</v>
      </c>
      <c r="E39" s="32">
        <v>46039</v>
      </c>
      <c r="F39" s="32"/>
      <c r="G39" s="52">
        <v>5</v>
      </c>
      <c r="H39" s="32">
        <v>46043</v>
      </c>
      <c r="I39" s="32"/>
      <c r="J39" s="64">
        <v>0</v>
      </c>
      <c r="K39" s="52">
        <f t="shared" ca="1" si="0"/>
        <v>0</v>
      </c>
      <c r="L39" s="75" t="str">
        <f t="shared" ca="1" si="1"/>
        <v>⚠️ Atrasado</v>
      </c>
      <c r="N39" s="122" t="s">
        <v>125</v>
      </c>
      <c r="O39" s="122" t="s">
        <v>260</v>
      </c>
      <c r="P39" s="122" t="s">
        <v>261</v>
      </c>
    </row>
    <row r="40" spans="1:16" ht="19.95" customHeight="1" x14ac:dyDescent="0.3">
      <c r="A40" s="30" t="s">
        <v>70</v>
      </c>
      <c r="B40" s="31" t="s">
        <v>75</v>
      </c>
      <c r="C40" s="52" t="s">
        <v>29</v>
      </c>
      <c r="D40" s="52" t="s">
        <v>76</v>
      </c>
      <c r="E40" s="32">
        <v>46044</v>
      </c>
      <c r="F40" s="32"/>
      <c r="G40" s="52">
        <v>4</v>
      </c>
      <c r="H40" s="32">
        <v>46047</v>
      </c>
      <c r="I40" s="32"/>
      <c r="J40" s="64">
        <v>0</v>
      </c>
      <c r="K40" s="52">
        <f t="shared" ca="1" si="0"/>
        <v>0</v>
      </c>
      <c r="L40" s="75" t="str">
        <f t="shared" ca="1" si="1"/>
        <v>⚠️ Atrasado</v>
      </c>
      <c r="N40" s="123" t="s">
        <v>262</v>
      </c>
      <c r="O40" s="123" t="s">
        <v>195</v>
      </c>
      <c r="P40" s="123">
        <v>7</v>
      </c>
    </row>
    <row r="41" spans="1:16" ht="19.95" customHeight="1" x14ac:dyDescent="0.3">
      <c r="A41" s="30" t="s">
        <v>70</v>
      </c>
      <c r="B41" s="31" t="s">
        <v>77</v>
      </c>
      <c r="C41" s="52" t="s">
        <v>29</v>
      </c>
      <c r="D41" s="52" t="s">
        <v>78</v>
      </c>
      <c r="E41" s="32">
        <v>46048</v>
      </c>
      <c r="F41" s="32"/>
      <c r="G41" s="52">
        <v>4</v>
      </c>
      <c r="H41" s="32">
        <v>46051</v>
      </c>
      <c r="I41" s="32"/>
      <c r="J41" s="64">
        <v>0</v>
      </c>
      <c r="K41" s="52">
        <f t="shared" ca="1" si="0"/>
        <v>0</v>
      </c>
      <c r="L41" s="75" t="str">
        <f t="shared" ca="1" si="1"/>
        <v>⚠️ Atrasado</v>
      </c>
      <c r="N41" s="123" t="s">
        <v>263</v>
      </c>
      <c r="O41" s="123" t="s">
        <v>264</v>
      </c>
      <c r="P41" s="123">
        <v>10</v>
      </c>
    </row>
    <row r="42" spans="1:16" ht="19.95" customHeight="1" x14ac:dyDescent="0.3">
      <c r="A42" s="30" t="s">
        <v>70</v>
      </c>
      <c r="B42" s="31" t="s">
        <v>80</v>
      </c>
      <c r="C42" s="52" t="s">
        <v>29</v>
      </c>
      <c r="D42" s="52" t="s">
        <v>81</v>
      </c>
      <c r="E42" s="32">
        <v>46037</v>
      </c>
      <c r="F42" s="32"/>
      <c r="G42" s="52">
        <v>7</v>
      </c>
      <c r="H42" s="32">
        <v>46043</v>
      </c>
      <c r="I42" s="32"/>
      <c r="J42" s="64">
        <v>0</v>
      </c>
      <c r="K42" s="52">
        <f t="shared" ca="1" si="0"/>
        <v>0</v>
      </c>
      <c r="L42" s="75" t="str">
        <f t="shared" ca="1" si="1"/>
        <v>⚠️ Atrasado</v>
      </c>
      <c r="N42" s="123" t="s">
        <v>197</v>
      </c>
      <c r="O42" s="125">
        <v>46204</v>
      </c>
      <c r="P42" s="123">
        <v>7</v>
      </c>
    </row>
    <row r="43" spans="1:16" ht="19.95" customHeight="1" x14ac:dyDescent="0.3">
      <c r="A43" s="33" t="s">
        <v>79</v>
      </c>
      <c r="B43" s="34" t="s">
        <v>82</v>
      </c>
      <c r="C43" s="53" t="s">
        <v>29</v>
      </c>
      <c r="D43" s="53" t="s">
        <v>83</v>
      </c>
      <c r="E43" s="35">
        <v>46044</v>
      </c>
      <c r="F43" s="35"/>
      <c r="G43" s="53">
        <v>5</v>
      </c>
      <c r="H43" s="35">
        <v>46048</v>
      </c>
      <c r="I43" s="35"/>
      <c r="J43" s="65">
        <v>0</v>
      </c>
      <c r="K43" s="53">
        <f t="shared" ca="1" si="0"/>
        <v>0</v>
      </c>
      <c r="L43" s="76" t="str">
        <f t="shared" ca="1" si="1"/>
        <v>⚠️ Atrasado</v>
      </c>
      <c r="N43" s="123" t="s">
        <v>265</v>
      </c>
      <c r="O43" s="123" t="s">
        <v>198</v>
      </c>
      <c r="P43" s="123">
        <v>1</v>
      </c>
    </row>
    <row r="44" spans="1:16" ht="19.95" customHeight="1" x14ac:dyDescent="0.3">
      <c r="A44" s="33" t="s">
        <v>79</v>
      </c>
      <c r="B44" s="34" t="s">
        <v>85</v>
      </c>
      <c r="C44" s="53" t="s">
        <v>29</v>
      </c>
      <c r="D44" s="53" t="s">
        <v>86</v>
      </c>
      <c r="E44" s="35">
        <v>46047</v>
      </c>
      <c r="F44" s="35"/>
      <c r="G44" s="53">
        <v>10</v>
      </c>
      <c r="H44" s="35">
        <v>46056</v>
      </c>
      <c r="I44" s="35"/>
      <c r="J44" s="65">
        <v>0</v>
      </c>
      <c r="K44" s="53">
        <f t="shared" ca="1" si="0"/>
        <v>0</v>
      </c>
      <c r="L44" s="76" t="str">
        <f t="shared" ca="1" si="1"/>
        <v>⚠️ Atrasado</v>
      </c>
      <c r="N44" s="123" t="s">
        <v>266</v>
      </c>
      <c r="O44" s="123" t="s">
        <v>202</v>
      </c>
      <c r="P44" s="123">
        <v>1</v>
      </c>
    </row>
    <row r="45" spans="1:16" ht="19.95" customHeight="1" x14ac:dyDescent="0.3">
      <c r="A45" s="36" t="s">
        <v>84</v>
      </c>
      <c r="B45" s="37" t="s">
        <v>87</v>
      </c>
      <c r="C45" s="54" t="s">
        <v>29</v>
      </c>
      <c r="D45" s="54" t="s">
        <v>88</v>
      </c>
      <c r="E45" s="38">
        <v>46057</v>
      </c>
      <c r="F45" s="38"/>
      <c r="G45" s="54">
        <v>5</v>
      </c>
      <c r="H45" s="38">
        <v>46061</v>
      </c>
      <c r="I45" s="38"/>
      <c r="J45" s="66">
        <v>0</v>
      </c>
      <c r="K45" s="54">
        <f t="shared" ca="1" si="0"/>
        <v>0</v>
      </c>
      <c r="L45" s="77" t="str">
        <f t="shared" ca="1" si="1"/>
        <v>⚠️ Atrasado</v>
      </c>
      <c r="N45" s="123" t="s">
        <v>267</v>
      </c>
      <c r="O45" s="123" t="s">
        <v>202</v>
      </c>
      <c r="P45" s="123">
        <v>1</v>
      </c>
    </row>
    <row r="46" spans="1:16" ht="19.95" customHeight="1" x14ac:dyDescent="0.3">
      <c r="A46" s="36" t="s">
        <v>84</v>
      </c>
      <c r="B46" s="37" t="s">
        <v>90</v>
      </c>
      <c r="C46" s="54" t="s">
        <v>29</v>
      </c>
      <c r="D46" s="54" t="s">
        <v>91</v>
      </c>
      <c r="E46" s="38">
        <v>46054</v>
      </c>
      <c r="F46" s="38"/>
      <c r="G46" s="54">
        <v>7</v>
      </c>
      <c r="H46" s="38">
        <v>46060</v>
      </c>
      <c r="I46" s="38"/>
      <c r="J46" s="66">
        <v>0</v>
      </c>
      <c r="K46" s="54">
        <f t="shared" ca="1" si="0"/>
        <v>0</v>
      </c>
      <c r="L46" s="77" t="str">
        <f t="shared" ca="1" si="1"/>
        <v>⚠️ Atrasado</v>
      </c>
      <c r="N46" s="123" t="s">
        <v>268</v>
      </c>
      <c r="O46" s="123" t="s">
        <v>202</v>
      </c>
      <c r="P46" s="123">
        <v>1</v>
      </c>
    </row>
    <row r="47" spans="1:16" ht="19.95" customHeight="1" x14ac:dyDescent="0.3">
      <c r="A47" s="18" t="s">
        <v>89</v>
      </c>
      <c r="B47" s="19" t="s">
        <v>92</v>
      </c>
      <c r="C47" s="48" t="s">
        <v>29</v>
      </c>
      <c r="D47" s="48" t="s">
        <v>93</v>
      </c>
      <c r="E47" s="20">
        <v>46061</v>
      </c>
      <c r="F47" s="20"/>
      <c r="G47" s="48">
        <v>7</v>
      </c>
      <c r="H47" s="20">
        <v>46067</v>
      </c>
      <c r="I47" s="20"/>
      <c r="J47" s="60">
        <v>0</v>
      </c>
      <c r="K47" s="48">
        <f t="shared" ca="1" si="0"/>
        <v>0</v>
      </c>
      <c r="L47" s="72" t="str">
        <f t="shared" ca="1" si="1"/>
        <v>⚠️ Atrasado</v>
      </c>
      <c r="N47" s="123" t="s">
        <v>269</v>
      </c>
      <c r="O47" s="123" t="s">
        <v>202</v>
      </c>
      <c r="P47" s="123">
        <v>1</v>
      </c>
    </row>
    <row r="48" spans="1:16" ht="19.95" customHeight="1" x14ac:dyDescent="0.3">
      <c r="A48" s="18" t="s">
        <v>89</v>
      </c>
      <c r="B48" s="19" t="s">
        <v>94</v>
      </c>
      <c r="C48" s="48" t="s">
        <v>29</v>
      </c>
      <c r="D48" s="48" t="s">
        <v>95</v>
      </c>
      <c r="E48" s="20">
        <v>46068</v>
      </c>
      <c r="F48" s="20"/>
      <c r="G48" s="48">
        <v>5</v>
      </c>
      <c r="H48" s="20">
        <v>46072</v>
      </c>
      <c r="I48" s="20"/>
      <c r="J48" s="60">
        <v>0</v>
      </c>
      <c r="K48" s="48">
        <f t="shared" ca="1" si="0"/>
        <v>0</v>
      </c>
      <c r="L48" s="72" t="str">
        <f t="shared" ca="1" si="1"/>
        <v>⚠️ Atrasado</v>
      </c>
      <c r="N48" s="123" t="s">
        <v>270</v>
      </c>
      <c r="O48" s="123" t="s">
        <v>208</v>
      </c>
      <c r="P48" s="123" t="s">
        <v>271</v>
      </c>
    </row>
    <row r="49" spans="1:12" ht="19.95" customHeight="1" x14ac:dyDescent="0.3">
      <c r="A49" s="18" t="s">
        <v>89</v>
      </c>
      <c r="B49" s="19" t="s">
        <v>97</v>
      </c>
      <c r="C49" s="48" t="s">
        <v>29</v>
      </c>
      <c r="D49" s="48" t="s">
        <v>98</v>
      </c>
      <c r="E49" s="20">
        <v>46073</v>
      </c>
      <c r="F49" s="20"/>
      <c r="G49" s="48">
        <v>3</v>
      </c>
      <c r="H49" s="20">
        <v>46075</v>
      </c>
      <c r="I49" s="20"/>
      <c r="J49" s="60">
        <v>0</v>
      </c>
      <c r="K49" s="48">
        <f t="shared" ca="1" si="0"/>
        <v>0</v>
      </c>
      <c r="L49" s="72" t="str">
        <f t="shared" ca="1" si="1"/>
        <v>⚠️ Atrasado</v>
      </c>
    </row>
    <row r="50" spans="1:12" ht="19.95" customHeight="1" x14ac:dyDescent="0.3">
      <c r="A50" s="39" t="s">
        <v>96</v>
      </c>
      <c r="B50" s="40" t="s">
        <v>99</v>
      </c>
      <c r="C50" s="55" t="s">
        <v>100</v>
      </c>
      <c r="D50" s="55" t="s">
        <v>101</v>
      </c>
      <c r="E50" s="41">
        <v>46076</v>
      </c>
      <c r="F50" s="41"/>
      <c r="G50" s="55">
        <v>0</v>
      </c>
      <c r="H50" s="41">
        <v>46076</v>
      </c>
      <c r="I50" s="41"/>
      <c r="J50" s="67">
        <v>1</v>
      </c>
      <c r="K50" s="55">
        <f t="shared" ca="1" si="0"/>
        <v>0</v>
      </c>
      <c r="L50" s="78" t="str">
        <f t="shared" ca="1" si="1"/>
        <v>🎯</v>
      </c>
    </row>
    <row r="51" spans="1:12" ht="19.95" customHeight="1" thickBot="1" x14ac:dyDescent="0.35">
      <c r="A51" s="42" t="s">
        <v>96</v>
      </c>
      <c r="B51" s="43"/>
      <c r="C51" s="56"/>
      <c r="D51" s="56"/>
      <c r="E51" s="44"/>
      <c r="F51" s="44"/>
      <c r="G51" s="56"/>
      <c r="H51" s="44"/>
      <c r="I51" s="44"/>
      <c r="J51" s="68"/>
      <c r="K51" s="56">
        <f t="shared" ca="1" si="0"/>
        <v>0</v>
      </c>
      <c r="L51" s="79" t="str">
        <f t="shared" ca="1" si="1"/>
        <v>⚠️ Atrasado</v>
      </c>
    </row>
  </sheetData>
  <mergeCells count="4">
    <mergeCell ref="A1:J1"/>
    <mergeCell ref="N2:P2"/>
    <mergeCell ref="N20:P20"/>
    <mergeCell ref="N38:P38"/>
  </mergeCells>
  <conditionalFormatting sqref="C3:C51">
    <cfRule type="cellIs" dxfId="10" priority="1" operator="equal">
      <formula>"Completado"</formula>
    </cfRule>
    <cfRule type="cellIs" dxfId="9" priority="2" operator="equal">
      <formula>"En Progreso"</formula>
    </cfRule>
    <cfRule type="cellIs" dxfId="8" priority="3" operator="equal">
      <formula>"Pendiente"</formula>
    </cfRule>
    <cfRule type="cellIs" dxfId="7" priority="4" operator="equal">
      <formula>"Hito"</formula>
    </cfRule>
  </conditionalFormatting>
  <conditionalFormatting sqref="J3:J51">
    <cfRule type="dataBar" priority="5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{DAAC33DE-96C9-4F96-85BA-AFADA3167EDE}</x14:id>
        </ext>
      </extLst>
    </cfRule>
  </conditionalFormatting>
  <conditionalFormatting sqref="P22:P33">
    <cfRule type="dataBar" priority="6">
      <dataBar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{C6E5121E-7058-4B6C-A224-65F434D1F150}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AC33DE-96C9-4F96-85BA-AFADA3167EDE}">
            <x14:dataBar minLength="0" maxLength="100" border="1" direction="leftToRight" negativeBarColorSameAsPositive="1">
              <x14:cfvo type="num">
                <xm:f>0</xm:f>
              </x14:cfvo>
              <x14:cfvo type="num">
                <xm:f>1</xm:f>
              </x14:cfvo>
              <x14:borderColor rgb="FF2E5A8E"/>
              <x14:axisColor rgb="FF000000"/>
            </x14:dataBar>
          </x14:cfRule>
          <xm:sqref>J3:J51</xm:sqref>
        </x14:conditionalFormatting>
        <x14:conditionalFormatting xmlns:xm="http://schemas.microsoft.com/office/excel/2006/main">
          <x14:cfRule type="dataBar" id="{C6E5121E-7058-4B6C-A224-65F434D1F150}">
            <x14:dataBar minLength="0" maxLength="100" border="1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  <x14:borderColor rgb="FF548235"/>
            </x14:dataBar>
          </x14:cfRule>
          <xm:sqref>P22:P33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9F8D-CC07-4E3A-9362-3B988CBFA129}">
  <dimension ref="A1:AB63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L7" sqref="L7"/>
    </sheetView>
  </sheetViews>
  <sheetFormatPr baseColWidth="10" defaultRowHeight="14.4" x14ac:dyDescent="0.3"/>
  <cols>
    <col min="1" max="1" width="22.21875" customWidth="1"/>
    <col min="2" max="2" width="46.33203125" customWidth="1"/>
    <col min="3" max="4" width="15.77734375" customWidth="1"/>
    <col min="5" max="6" width="11.109375" customWidth="1"/>
    <col min="7" max="12" width="4.6640625" customWidth="1"/>
    <col min="13" max="16" width="5.21875" bestFit="1" customWidth="1"/>
    <col min="17" max="20" width="5.5546875" bestFit="1" customWidth="1"/>
    <col min="21" max="23" width="4.6640625" customWidth="1"/>
    <col min="24" max="24" width="4.44140625" bestFit="1" customWidth="1"/>
    <col min="25" max="26" width="5.77734375" bestFit="1" customWidth="1"/>
    <col min="27" max="28" width="0" hidden="1" customWidth="1"/>
  </cols>
  <sheetData>
    <row r="1" spans="1:28" ht="25.05" customHeight="1" x14ac:dyDescent="0.4">
      <c r="A1" s="110" t="s">
        <v>124</v>
      </c>
      <c r="B1" s="110"/>
      <c r="C1" s="110"/>
      <c r="D1" s="110"/>
      <c r="E1" s="110"/>
      <c r="F1" s="110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101"/>
      <c r="Z1" s="86"/>
      <c r="AA1" t="s">
        <v>130</v>
      </c>
      <c r="AB1" s="89">
        <v>46012</v>
      </c>
    </row>
    <row r="2" spans="1:28" ht="19.95" customHeight="1" x14ac:dyDescent="0.3">
      <c r="G2" s="97" t="s">
        <v>142</v>
      </c>
      <c r="H2" s="97" t="s">
        <v>143</v>
      </c>
      <c r="I2" s="97" t="s">
        <v>144</v>
      </c>
      <c r="J2" s="98" t="s">
        <v>145</v>
      </c>
      <c r="K2" s="98" t="s">
        <v>146</v>
      </c>
      <c r="L2" s="97" t="s">
        <v>147</v>
      </c>
      <c r="M2" s="98">
        <v>46054</v>
      </c>
      <c r="N2" s="98">
        <v>46055</v>
      </c>
      <c r="O2" s="98">
        <v>46056</v>
      </c>
      <c r="P2" s="98">
        <v>46057</v>
      </c>
      <c r="Q2" s="98">
        <v>46082</v>
      </c>
      <c r="R2" s="98">
        <v>46083</v>
      </c>
      <c r="S2" s="98">
        <v>46084</v>
      </c>
      <c r="T2" s="98">
        <v>46085</v>
      </c>
      <c r="U2" s="97" t="s">
        <v>148</v>
      </c>
      <c r="V2" s="97" t="s">
        <v>149</v>
      </c>
      <c r="W2" s="98" t="s">
        <v>150</v>
      </c>
      <c r="X2" s="99" t="s">
        <v>151</v>
      </c>
      <c r="Y2" s="98">
        <v>46143</v>
      </c>
      <c r="Z2" s="98">
        <v>46144</v>
      </c>
    </row>
    <row r="3" spans="1:28" ht="22.05" customHeight="1" x14ac:dyDescent="0.3">
      <c r="A3" s="88" t="s">
        <v>0</v>
      </c>
      <c r="B3" s="88" t="s">
        <v>125</v>
      </c>
      <c r="C3" s="88" t="s">
        <v>126</v>
      </c>
      <c r="D3" s="88" t="s">
        <v>127</v>
      </c>
      <c r="E3" s="88" t="s">
        <v>128</v>
      </c>
      <c r="F3" s="88" t="s">
        <v>117</v>
      </c>
      <c r="G3" s="108" t="s">
        <v>129</v>
      </c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8" x14ac:dyDescent="0.3">
      <c r="A4" t="s">
        <v>0</v>
      </c>
      <c r="B4" t="s">
        <v>2</v>
      </c>
      <c r="C4" t="s">
        <v>3</v>
      </c>
      <c r="D4" s="89">
        <v>46012</v>
      </c>
      <c r="E4">
        <v>7</v>
      </c>
      <c r="F4" s="90">
        <v>1</v>
      </c>
      <c r="G4" s="91" t="str">
        <f t="shared" ref="G4:G47" si="0">IF(AND($D4&lt;&gt;"",($D4-$AB$1)&lt;=7,($D4-$AB$1)+$E4&gt;=0),IF($C4="Completado","✓",IF($C4="En Progreso","▶",IF($C4="Hito","🎯","●"))),"")</f>
        <v>✓</v>
      </c>
      <c r="H4" s="91" t="str">
        <f t="shared" ref="H4:H47" si="1">IF(AND($D4&lt;&gt;"",($D4-$AB$1)&lt;=14,($D4-$AB$1)+$E4&gt;=7),IF($C4="Completado","✓",IF($C4="En Progreso","▶",IF($C4="Hito","🎯","●"))),"")</f>
        <v>✓</v>
      </c>
      <c r="I4" s="91" t="str">
        <f t="shared" ref="I4:I47" si="2">IF(AND($D4&lt;&gt;"",($D4-$AB$1)&lt;=21,($D4-$AB$1)+$E4&gt;=14),IF($C4="Completado","✓",IF($C4="En Progreso","▶",IF($C4="Hito","🎯","●"))),"")</f>
        <v/>
      </c>
      <c r="J4" s="91" t="str">
        <f t="shared" ref="J4:J47" si="3">IF(AND($D4&lt;&gt;"",($D4-$AB$1)&lt;=28,($D4-$AB$1)+$E4&gt;=21),IF($C4="Completado","✓",IF($C4="En Progreso","▶",IF($C4="Hito","🎯","●"))),"")</f>
        <v/>
      </c>
      <c r="K4" s="91" t="str">
        <f t="shared" ref="K4:K47" si="4">IF(AND($D4&lt;&gt;"",($D4-$AB$1)&lt;=35,($D4-$AB$1)+$E4&gt;=28),IF($C4="Completado","✓",IF($C4="En Progreso","▶",IF($C4="Hito","🎯","●"))),"")</f>
        <v/>
      </c>
      <c r="L4" s="91" t="str">
        <f t="shared" ref="L4:L47" si="5">IF(AND($D4&lt;&gt;"",($D4-$AB$1)&lt;=42,($D4-$AB$1)+$E4&gt;=35),IF($C4="Completado","✓",IF($C4="En Progreso","▶",IF($C4="Hito","🎯","●"))),"")</f>
        <v/>
      </c>
      <c r="M4" s="91" t="str">
        <f t="shared" ref="M4:M47" si="6">IF(AND($D4&lt;&gt;"",($D4-$AB$1)&lt;=49,($D4-$AB$1)+$E4&gt;=42),IF($C4="Completado","✓",IF($C4="En Progreso","▶",IF($C4="Hito","🎯","●"))),"")</f>
        <v/>
      </c>
      <c r="N4" s="91" t="str">
        <f t="shared" ref="N4:N47" si="7">IF(AND($D4&lt;&gt;"",($D4-$AB$1)&lt;=56,($D4-$AB$1)+$E4&gt;=49),IF($C4="Completado","✓",IF($C4="En Progreso","▶",IF($C4="Hito","🎯","●"))),"")</f>
        <v/>
      </c>
      <c r="O4" s="91" t="str">
        <f t="shared" ref="O4:O47" si="8">IF(AND($D4&lt;&gt;"",($D4-$AB$1)&lt;=63,($D4-$AB$1)+$E4&gt;=56),IF($C4="Completado","✓",IF($C4="En Progreso","▶",IF($C4="Hito","🎯","●"))),"")</f>
        <v/>
      </c>
      <c r="P4" s="91" t="str">
        <f t="shared" ref="P4:P47" si="9">IF(AND($D4&lt;&gt;"",($D4-$AB$1)&lt;=70,($D4-$AB$1)+$E4&gt;=63),IF($C4="Completado","✓",IF($C4="En Progreso","▶",IF($C4="Hito","🎯","●"))),"")</f>
        <v/>
      </c>
      <c r="Q4" s="91" t="str">
        <f t="shared" ref="Q4:Q47" si="10">IF(AND($D4&lt;&gt;"",($D4-$AB$1)&lt;=77,($D4-$AB$1)+$E4&gt;=70),IF($C4="Completado","✓",IF($C4="En Progreso","▶",IF($C4="Hito","🎯","●"))),"")</f>
        <v/>
      </c>
      <c r="R4" s="91" t="str">
        <f t="shared" ref="R4:R47" si="11">IF(AND($D4&lt;&gt;"",($D4-$AB$1)&lt;=84,($D4-$AB$1)+$E4&gt;=77),IF($C4="Completado","✓",IF($C4="En Progreso","▶",IF($C4="Hito","🎯","●"))),"")</f>
        <v/>
      </c>
      <c r="S4" s="91" t="str">
        <f t="shared" ref="S4:S47" si="12">IF(AND($D4&lt;&gt;"",($D4-$AB$1)&lt;=91,($D4-$AB$1)+$E4&gt;=84),IF($C4="Completado","✓",IF($C4="En Progreso","▶",IF($C4="Hito","🎯","●"))),"")</f>
        <v/>
      </c>
      <c r="T4" s="91" t="str">
        <f t="shared" ref="T4:T47" si="13">IF(AND($D4&lt;&gt;"",($D4-$AB$1)&lt;=98,($D4-$AB$1)+$E4&gt;=91),IF($C4="Completado","✓",IF($C4="En Progreso","▶",IF($C4="Hito","🎯","●"))),"")</f>
        <v/>
      </c>
      <c r="U4" s="91" t="str">
        <f t="shared" ref="U4:U47" si="14">IF(AND($D4&lt;&gt;"",($D4-$AB$1)&lt;=105,($D4-$AB$1)+$E4&gt;=98),IF($C4="Completado","✓",IF($C4="En Progreso","▶",IF($C4="Hito","🎯","●"))),"")</f>
        <v/>
      </c>
      <c r="V4" s="91" t="str">
        <f t="shared" ref="V4:V47" si="15">IF(AND($D4&lt;&gt;"",($D4-$AB$1)&lt;=112,($D4-$AB$1)+$E4&gt;=105),IF($C4="Completado","✓",IF($C4="En Progreso","▶",IF($C4="Hito","🎯","●"))),"")</f>
        <v/>
      </c>
      <c r="W4" s="91" t="str">
        <f t="shared" ref="W4:W47" si="16">IF(AND($D4&lt;&gt;"",($D4-$AB$1)&lt;=119,($D4-$AB$1)+$E4&gt;=112),IF($C4="Completado","✓",IF($C4="En Progreso","▶",IF($C4="Hito","🎯","●"))),"")</f>
        <v/>
      </c>
      <c r="X4" s="91" t="str">
        <f t="shared" ref="X4:X47" si="17">IF(AND($D4&lt;&gt;"",($D4-$AB$1)&lt;=126,($D4-$AB$1)+$E4&gt;=119),IF($C4="Completado","✓",IF($C4="En Progreso","▶",IF($C4="Hito","🎯","●"))),"")</f>
        <v/>
      </c>
      <c r="Y4" s="91" t="str">
        <f t="shared" ref="Y4:Y47" si="18">IF(AND($D4&lt;&gt;"",($D4-$AB$1)&lt;=133,($D4-$AB$1)+$E4&gt;=126),IF($C4="Completado","✓",IF($C4="En Progreso","▶",IF($C4="Hito","🎯","●"))),"")</f>
        <v/>
      </c>
      <c r="Z4" s="91" t="str">
        <f t="shared" ref="Z4:Z47" si="19">IF(AND($D4&lt;&gt;"",($D4-$AB$1)&lt;=140,($D4-$AB$1)+$E4&gt;=133),IF($C4="Completado","✓",IF($C4="En Progreso","▶",IF($C4="Hito","🎯","●"))),"")</f>
        <v/>
      </c>
    </row>
    <row r="5" spans="1:28" x14ac:dyDescent="0.3">
      <c r="A5" t="s">
        <v>1</v>
      </c>
      <c r="B5" t="s">
        <v>5</v>
      </c>
      <c r="C5" t="s">
        <v>3</v>
      </c>
      <c r="D5" s="89">
        <v>46022</v>
      </c>
      <c r="E5">
        <v>10</v>
      </c>
      <c r="F5" s="90">
        <v>1</v>
      </c>
      <c r="G5" s="91" t="str">
        <f t="shared" si="0"/>
        <v/>
      </c>
      <c r="H5" s="91" t="str">
        <f t="shared" si="1"/>
        <v>✓</v>
      </c>
      <c r="I5" s="91" t="str">
        <f t="shared" si="2"/>
        <v>✓</v>
      </c>
      <c r="J5" s="91" t="str">
        <f t="shared" si="3"/>
        <v/>
      </c>
      <c r="K5" s="91" t="str">
        <f t="shared" si="4"/>
        <v/>
      </c>
      <c r="L5" s="91" t="str">
        <f t="shared" si="5"/>
        <v/>
      </c>
      <c r="M5" s="91" t="str">
        <f t="shared" si="6"/>
        <v/>
      </c>
      <c r="N5" s="91" t="str">
        <f t="shared" si="7"/>
        <v/>
      </c>
      <c r="O5" s="91" t="str">
        <f t="shared" si="8"/>
        <v/>
      </c>
      <c r="P5" s="91" t="str">
        <f t="shared" si="9"/>
        <v/>
      </c>
      <c r="Q5" s="91" t="str">
        <f t="shared" si="10"/>
        <v/>
      </c>
      <c r="R5" s="91" t="str">
        <f t="shared" si="11"/>
        <v/>
      </c>
      <c r="S5" s="91" t="str">
        <f t="shared" si="12"/>
        <v/>
      </c>
      <c r="T5" s="91" t="str">
        <f t="shared" si="13"/>
        <v/>
      </c>
      <c r="U5" s="91" t="str">
        <f t="shared" si="14"/>
        <v/>
      </c>
      <c r="V5" s="91" t="str">
        <f t="shared" si="15"/>
        <v/>
      </c>
      <c r="W5" s="91" t="str">
        <f t="shared" si="16"/>
        <v/>
      </c>
      <c r="X5" s="91" t="str">
        <f t="shared" si="17"/>
        <v/>
      </c>
      <c r="Y5" s="91" t="str">
        <f t="shared" si="18"/>
        <v/>
      </c>
      <c r="Z5" s="91" t="str">
        <f t="shared" si="19"/>
        <v/>
      </c>
    </row>
    <row r="6" spans="1:28" x14ac:dyDescent="0.3">
      <c r="A6" t="s">
        <v>1</v>
      </c>
      <c r="B6" t="s">
        <v>7</v>
      </c>
      <c r="C6" t="s">
        <v>3</v>
      </c>
      <c r="D6" s="89">
        <v>46029</v>
      </c>
      <c r="E6">
        <v>7</v>
      </c>
      <c r="F6" s="90">
        <v>1</v>
      </c>
      <c r="G6" s="91" t="str">
        <f t="shared" si="0"/>
        <v/>
      </c>
      <c r="H6" s="91" t="str">
        <f t="shared" si="1"/>
        <v/>
      </c>
      <c r="I6" s="91" t="str">
        <f t="shared" si="2"/>
        <v>✓</v>
      </c>
      <c r="J6" s="91" t="str">
        <f t="shared" si="3"/>
        <v>✓</v>
      </c>
      <c r="K6" s="91" t="str">
        <f t="shared" si="4"/>
        <v/>
      </c>
      <c r="L6" s="91" t="str">
        <f t="shared" si="5"/>
        <v/>
      </c>
      <c r="M6" s="91" t="str">
        <f t="shared" si="6"/>
        <v/>
      </c>
      <c r="N6" s="91" t="str">
        <f t="shared" si="7"/>
        <v/>
      </c>
      <c r="O6" s="91" t="str">
        <f t="shared" si="8"/>
        <v/>
      </c>
      <c r="P6" s="91" t="str">
        <f t="shared" si="9"/>
        <v/>
      </c>
      <c r="Q6" s="91" t="str">
        <f t="shared" si="10"/>
        <v/>
      </c>
      <c r="R6" s="91" t="str">
        <f t="shared" si="11"/>
        <v/>
      </c>
      <c r="S6" s="91" t="str">
        <f t="shared" si="12"/>
        <v/>
      </c>
      <c r="T6" s="91" t="str">
        <f t="shared" si="13"/>
        <v/>
      </c>
      <c r="U6" s="91" t="str">
        <f t="shared" si="14"/>
        <v/>
      </c>
      <c r="V6" s="91" t="str">
        <f t="shared" si="15"/>
        <v/>
      </c>
      <c r="W6" s="91" t="str">
        <f t="shared" si="16"/>
        <v/>
      </c>
      <c r="X6" s="91" t="str">
        <f t="shared" si="17"/>
        <v/>
      </c>
      <c r="Y6" s="91" t="str">
        <f t="shared" si="18"/>
        <v/>
      </c>
      <c r="Z6" s="91" t="str">
        <f t="shared" si="19"/>
        <v/>
      </c>
    </row>
    <row r="7" spans="1:28" x14ac:dyDescent="0.3">
      <c r="A7" t="s">
        <v>1</v>
      </c>
      <c r="B7" t="s">
        <v>9</v>
      </c>
      <c r="C7" t="s">
        <v>10</v>
      </c>
      <c r="D7" s="89">
        <v>46043</v>
      </c>
      <c r="E7">
        <v>7</v>
      </c>
      <c r="F7" s="90">
        <v>0.5</v>
      </c>
      <c r="G7" s="91" t="str">
        <f t="shared" si="0"/>
        <v/>
      </c>
      <c r="H7" s="91" t="str">
        <f t="shared" si="1"/>
        <v/>
      </c>
      <c r="I7" s="91" t="str">
        <f t="shared" si="2"/>
        <v/>
      </c>
      <c r="J7" s="91" t="str">
        <f t="shared" si="3"/>
        <v/>
      </c>
      <c r="K7" s="91" t="str">
        <f t="shared" si="4"/>
        <v>▶</v>
      </c>
      <c r="L7" s="91" t="str">
        <f t="shared" si="5"/>
        <v>▶</v>
      </c>
      <c r="M7" s="91" t="str">
        <f t="shared" si="6"/>
        <v/>
      </c>
      <c r="N7" s="91" t="str">
        <f t="shared" si="7"/>
        <v/>
      </c>
      <c r="O7" s="91" t="str">
        <f t="shared" si="8"/>
        <v/>
      </c>
      <c r="P7" s="91" t="str">
        <f t="shared" si="9"/>
        <v/>
      </c>
      <c r="Q7" s="91" t="str">
        <f t="shared" si="10"/>
        <v/>
      </c>
      <c r="R7" s="91" t="str">
        <f t="shared" si="11"/>
        <v/>
      </c>
      <c r="S7" s="91" t="str">
        <f t="shared" si="12"/>
        <v/>
      </c>
      <c r="T7" s="91" t="str">
        <f t="shared" si="13"/>
        <v/>
      </c>
      <c r="U7" s="91" t="str">
        <f t="shared" si="14"/>
        <v/>
      </c>
      <c r="V7" s="91" t="str">
        <f t="shared" si="15"/>
        <v/>
      </c>
      <c r="W7" s="91" t="str">
        <f t="shared" si="16"/>
        <v/>
      </c>
      <c r="X7" s="91" t="str">
        <f t="shared" si="17"/>
        <v/>
      </c>
      <c r="Y7" s="91" t="str">
        <f t="shared" si="18"/>
        <v/>
      </c>
      <c r="Z7" s="91" t="str">
        <f t="shared" si="19"/>
        <v/>
      </c>
    </row>
    <row r="8" spans="1:28" x14ac:dyDescent="0.3">
      <c r="A8" t="s">
        <v>1</v>
      </c>
      <c r="B8" t="s">
        <v>13</v>
      </c>
      <c r="C8" t="s">
        <v>3</v>
      </c>
      <c r="D8" s="89">
        <v>46035</v>
      </c>
      <c r="E8">
        <v>1</v>
      </c>
      <c r="F8" s="90">
        <v>1</v>
      </c>
      <c r="G8" s="91" t="str">
        <f t="shared" si="0"/>
        <v/>
      </c>
      <c r="H8" s="91" t="str">
        <f t="shared" si="1"/>
        <v/>
      </c>
      <c r="I8" s="91" t="str">
        <f t="shared" si="2"/>
        <v/>
      </c>
      <c r="J8" s="91" t="str">
        <f t="shared" si="3"/>
        <v>✓</v>
      </c>
      <c r="K8" s="91" t="str">
        <f t="shared" si="4"/>
        <v/>
      </c>
      <c r="L8" s="91" t="str">
        <f t="shared" si="5"/>
        <v/>
      </c>
      <c r="M8" s="91" t="str">
        <f t="shared" si="6"/>
        <v/>
      </c>
      <c r="N8" s="91" t="str">
        <f t="shared" si="7"/>
        <v/>
      </c>
      <c r="O8" s="91" t="str">
        <f t="shared" si="8"/>
        <v/>
      </c>
      <c r="P8" s="91" t="str">
        <f t="shared" si="9"/>
        <v/>
      </c>
      <c r="Q8" s="91" t="str">
        <f t="shared" si="10"/>
        <v/>
      </c>
      <c r="R8" s="91" t="str">
        <f t="shared" si="11"/>
        <v/>
      </c>
      <c r="S8" s="91" t="str">
        <f t="shared" si="12"/>
        <v/>
      </c>
      <c r="T8" s="91" t="str">
        <f t="shared" si="13"/>
        <v/>
      </c>
      <c r="U8" s="91" t="str">
        <f t="shared" si="14"/>
        <v/>
      </c>
      <c r="V8" s="91" t="str">
        <f t="shared" si="15"/>
        <v/>
      </c>
      <c r="W8" s="91" t="str">
        <f t="shared" si="16"/>
        <v/>
      </c>
      <c r="X8" s="91" t="str">
        <f t="shared" si="17"/>
        <v/>
      </c>
      <c r="Y8" s="91" t="str">
        <f t="shared" si="18"/>
        <v/>
      </c>
      <c r="Z8" s="91" t="str">
        <f t="shared" si="19"/>
        <v/>
      </c>
    </row>
    <row r="9" spans="1:28" x14ac:dyDescent="0.3">
      <c r="A9" t="s">
        <v>1</v>
      </c>
      <c r="B9" t="s">
        <v>121</v>
      </c>
      <c r="C9" t="s">
        <v>100</v>
      </c>
      <c r="D9" s="89">
        <v>46134</v>
      </c>
      <c r="E9">
        <v>0</v>
      </c>
      <c r="F9" s="90">
        <v>0</v>
      </c>
      <c r="G9" s="91" t="str">
        <f t="shared" si="0"/>
        <v/>
      </c>
      <c r="H9" s="91" t="str">
        <f t="shared" si="1"/>
        <v/>
      </c>
      <c r="I9" s="91" t="str">
        <f t="shared" si="2"/>
        <v/>
      </c>
      <c r="J9" s="91" t="str">
        <f t="shared" si="3"/>
        <v/>
      </c>
      <c r="K9" s="91" t="str">
        <f t="shared" si="4"/>
        <v/>
      </c>
      <c r="L9" s="91" t="str">
        <f t="shared" si="5"/>
        <v/>
      </c>
      <c r="M9" s="91" t="str">
        <f t="shared" si="6"/>
        <v/>
      </c>
      <c r="N9" s="91" t="str">
        <f t="shared" si="7"/>
        <v/>
      </c>
      <c r="O9" s="91" t="str">
        <f t="shared" si="8"/>
        <v/>
      </c>
      <c r="P9" s="91" t="str">
        <f t="shared" si="9"/>
        <v/>
      </c>
      <c r="Q9" s="91" t="str">
        <f t="shared" si="10"/>
        <v/>
      </c>
      <c r="R9" s="91" t="str">
        <f t="shared" si="11"/>
        <v/>
      </c>
      <c r="S9" s="91" t="str">
        <f t="shared" si="12"/>
        <v/>
      </c>
      <c r="T9" s="91" t="str">
        <f t="shared" si="13"/>
        <v/>
      </c>
      <c r="U9" s="91" t="str">
        <f t="shared" si="14"/>
        <v/>
      </c>
      <c r="V9" s="91" t="str">
        <f t="shared" si="15"/>
        <v/>
      </c>
      <c r="W9" s="91" t="str">
        <f t="shared" si="16"/>
        <v/>
      </c>
      <c r="X9" s="91" t="str">
        <f t="shared" si="17"/>
        <v>🎯</v>
      </c>
      <c r="Y9" s="91" t="str">
        <f t="shared" si="18"/>
        <v/>
      </c>
      <c r="Z9" s="91" t="str">
        <f t="shared" si="19"/>
        <v/>
      </c>
    </row>
    <row r="10" spans="1:28" x14ac:dyDescent="0.3">
      <c r="A10" t="s">
        <v>12</v>
      </c>
      <c r="B10" t="s">
        <v>15</v>
      </c>
      <c r="C10" t="s">
        <v>10</v>
      </c>
      <c r="D10" s="89">
        <v>46044</v>
      </c>
      <c r="E10">
        <v>9</v>
      </c>
      <c r="F10" s="90">
        <v>0.6</v>
      </c>
      <c r="G10" s="91" t="str">
        <f t="shared" si="0"/>
        <v/>
      </c>
      <c r="H10" s="91" t="str">
        <f t="shared" si="1"/>
        <v/>
      </c>
      <c r="I10" s="91" t="str">
        <f t="shared" si="2"/>
        <v/>
      </c>
      <c r="J10" s="91" t="str">
        <f t="shared" si="3"/>
        <v/>
      </c>
      <c r="K10" s="91" t="str">
        <f t="shared" si="4"/>
        <v>▶</v>
      </c>
      <c r="L10" s="91" t="str">
        <f t="shared" si="5"/>
        <v>▶</v>
      </c>
      <c r="M10" s="91" t="str">
        <f t="shared" si="6"/>
        <v/>
      </c>
      <c r="N10" s="91" t="str">
        <f t="shared" si="7"/>
        <v/>
      </c>
      <c r="O10" s="91" t="str">
        <f t="shared" si="8"/>
        <v/>
      </c>
      <c r="P10" s="91" t="str">
        <f t="shared" si="9"/>
        <v/>
      </c>
      <c r="Q10" s="91" t="str">
        <f t="shared" si="10"/>
        <v/>
      </c>
      <c r="R10" s="91" t="str">
        <f t="shared" si="11"/>
        <v/>
      </c>
      <c r="S10" s="91" t="str">
        <f t="shared" si="12"/>
        <v/>
      </c>
      <c r="T10" s="91" t="str">
        <f t="shared" si="13"/>
        <v/>
      </c>
      <c r="U10" s="91" t="str">
        <f t="shared" si="14"/>
        <v/>
      </c>
      <c r="V10" s="91" t="str">
        <f t="shared" si="15"/>
        <v/>
      </c>
      <c r="W10" s="91" t="str">
        <f t="shared" si="16"/>
        <v/>
      </c>
      <c r="X10" s="91" t="str">
        <f t="shared" si="17"/>
        <v/>
      </c>
      <c r="Y10" s="91" t="str">
        <f t="shared" si="18"/>
        <v/>
      </c>
      <c r="Z10" s="91" t="str">
        <f t="shared" si="19"/>
        <v/>
      </c>
    </row>
    <row r="11" spans="1:28" x14ac:dyDescent="0.3">
      <c r="A11" t="s">
        <v>12</v>
      </c>
      <c r="B11" t="s">
        <v>17</v>
      </c>
      <c r="C11" t="s">
        <v>10</v>
      </c>
      <c r="D11" s="89">
        <v>46044</v>
      </c>
      <c r="E11">
        <v>9</v>
      </c>
      <c r="F11" s="90">
        <v>0.3</v>
      </c>
      <c r="G11" s="91" t="str">
        <f t="shared" si="0"/>
        <v/>
      </c>
      <c r="H11" s="91" t="str">
        <f t="shared" si="1"/>
        <v/>
      </c>
      <c r="I11" s="91" t="str">
        <f t="shared" si="2"/>
        <v/>
      </c>
      <c r="J11" s="91" t="str">
        <f t="shared" si="3"/>
        <v/>
      </c>
      <c r="K11" s="91" t="str">
        <f t="shared" si="4"/>
        <v>▶</v>
      </c>
      <c r="L11" s="91" t="str">
        <f t="shared" si="5"/>
        <v>▶</v>
      </c>
      <c r="M11" s="91" t="str">
        <f t="shared" si="6"/>
        <v/>
      </c>
      <c r="N11" s="91" t="str">
        <f t="shared" si="7"/>
        <v/>
      </c>
      <c r="O11" s="91" t="str">
        <f t="shared" si="8"/>
        <v/>
      </c>
      <c r="P11" s="91" t="str">
        <f t="shared" si="9"/>
        <v/>
      </c>
      <c r="Q11" s="91" t="str">
        <f t="shared" si="10"/>
        <v/>
      </c>
      <c r="R11" s="91" t="str">
        <f t="shared" si="11"/>
        <v/>
      </c>
      <c r="S11" s="91" t="str">
        <f t="shared" si="12"/>
        <v/>
      </c>
      <c r="T11" s="91" t="str">
        <f t="shared" si="13"/>
        <v/>
      </c>
      <c r="U11" s="91" t="str">
        <f t="shared" si="14"/>
        <v/>
      </c>
      <c r="V11" s="91" t="str">
        <f t="shared" si="15"/>
        <v/>
      </c>
      <c r="W11" s="91" t="str">
        <f t="shared" si="16"/>
        <v/>
      </c>
      <c r="X11" s="91" t="str">
        <f t="shared" si="17"/>
        <v/>
      </c>
      <c r="Y11" s="91" t="str">
        <f t="shared" si="18"/>
        <v/>
      </c>
      <c r="Z11" s="91" t="str">
        <f t="shared" si="19"/>
        <v/>
      </c>
    </row>
    <row r="12" spans="1:28" x14ac:dyDescent="0.3">
      <c r="A12" t="s">
        <v>12</v>
      </c>
      <c r="B12" t="s">
        <v>20</v>
      </c>
      <c r="C12" t="s">
        <v>3</v>
      </c>
      <c r="D12" s="89">
        <v>46035</v>
      </c>
      <c r="E12">
        <v>1</v>
      </c>
      <c r="F12" s="90">
        <v>1</v>
      </c>
      <c r="G12" s="91" t="str">
        <f t="shared" si="0"/>
        <v/>
      </c>
      <c r="H12" s="91" t="str">
        <f t="shared" si="1"/>
        <v/>
      </c>
      <c r="I12" s="91" t="str">
        <f t="shared" si="2"/>
        <v/>
      </c>
      <c r="J12" s="91" t="str">
        <f t="shared" si="3"/>
        <v>✓</v>
      </c>
      <c r="K12" s="91" t="str">
        <f t="shared" si="4"/>
        <v/>
      </c>
      <c r="L12" s="91" t="str">
        <f t="shared" si="5"/>
        <v/>
      </c>
      <c r="M12" s="91" t="str">
        <f t="shared" si="6"/>
        <v/>
      </c>
      <c r="N12" s="91" t="str">
        <f t="shared" si="7"/>
        <v/>
      </c>
      <c r="O12" s="91" t="str">
        <f t="shared" si="8"/>
        <v/>
      </c>
      <c r="P12" s="91" t="str">
        <f t="shared" si="9"/>
        <v/>
      </c>
      <c r="Q12" s="91" t="str">
        <f t="shared" si="10"/>
        <v/>
      </c>
      <c r="R12" s="91" t="str">
        <f t="shared" si="11"/>
        <v/>
      </c>
      <c r="S12" s="91" t="str">
        <f t="shared" si="12"/>
        <v/>
      </c>
      <c r="T12" s="91" t="str">
        <f t="shared" si="13"/>
        <v/>
      </c>
      <c r="U12" s="91" t="str">
        <f t="shared" si="14"/>
        <v/>
      </c>
      <c r="V12" s="91" t="str">
        <f t="shared" si="15"/>
        <v/>
      </c>
      <c r="W12" s="91" t="str">
        <f t="shared" si="16"/>
        <v/>
      </c>
      <c r="X12" s="91" t="str">
        <f t="shared" si="17"/>
        <v/>
      </c>
      <c r="Y12" s="91" t="str">
        <f t="shared" si="18"/>
        <v/>
      </c>
      <c r="Z12" s="91" t="str">
        <f t="shared" si="19"/>
        <v/>
      </c>
    </row>
    <row r="13" spans="1:28" x14ac:dyDescent="0.3">
      <c r="A13" t="s">
        <v>19</v>
      </c>
      <c r="B13" t="s">
        <v>22</v>
      </c>
      <c r="C13" t="s">
        <v>3</v>
      </c>
      <c r="D13" s="89">
        <v>46036</v>
      </c>
      <c r="E13">
        <v>1</v>
      </c>
      <c r="F13" s="90">
        <v>1</v>
      </c>
      <c r="G13" s="91" t="str">
        <f t="shared" si="0"/>
        <v/>
      </c>
      <c r="H13" s="91" t="str">
        <f t="shared" si="1"/>
        <v/>
      </c>
      <c r="I13" s="91" t="str">
        <f t="shared" si="2"/>
        <v/>
      </c>
      <c r="J13" s="91" t="str">
        <f t="shared" si="3"/>
        <v>✓</v>
      </c>
      <c r="K13" s="91" t="str">
        <f t="shared" si="4"/>
        <v/>
      </c>
      <c r="L13" s="91" t="str">
        <f t="shared" si="5"/>
        <v/>
      </c>
      <c r="M13" s="91" t="str">
        <f t="shared" si="6"/>
        <v/>
      </c>
      <c r="N13" s="91" t="str">
        <f t="shared" si="7"/>
        <v/>
      </c>
      <c r="O13" s="91" t="str">
        <f t="shared" si="8"/>
        <v/>
      </c>
      <c r="P13" s="91" t="str">
        <f t="shared" si="9"/>
        <v/>
      </c>
      <c r="Q13" s="91" t="str">
        <f t="shared" si="10"/>
        <v/>
      </c>
      <c r="R13" s="91" t="str">
        <f t="shared" si="11"/>
        <v/>
      </c>
      <c r="S13" s="91" t="str">
        <f t="shared" si="12"/>
        <v/>
      </c>
      <c r="T13" s="91" t="str">
        <f t="shared" si="13"/>
        <v/>
      </c>
      <c r="U13" s="91" t="str">
        <f t="shared" si="14"/>
        <v/>
      </c>
      <c r="V13" s="91" t="str">
        <f t="shared" si="15"/>
        <v/>
      </c>
      <c r="W13" s="91" t="str">
        <f t="shared" si="16"/>
        <v/>
      </c>
      <c r="X13" s="91" t="str">
        <f t="shared" si="17"/>
        <v/>
      </c>
      <c r="Y13" s="91" t="str">
        <f t="shared" si="18"/>
        <v/>
      </c>
      <c r="Z13" s="91" t="str">
        <f t="shared" si="19"/>
        <v/>
      </c>
    </row>
    <row r="14" spans="1:28" x14ac:dyDescent="0.3">
      <c r="A14" t="s">
        <v>19</v>
      </c>
      <c r="B14" t="s">
        <v>24</v>
      </c>
      <c r="C14" t="s">
        <v>10</v>
      </c>
      <c r="D14" s="89">
        <v>46044</v>
      </c>
      <c r="E14">
        <v>9</v>
      </c>
      <c r="F14" s="90">
        <v>0.5</v>
      </c>
      <c r="G14" s="91" t="str">
        <f t="shared" si="0"/>
        <v/>
      </c>
      <c r="H14" s="91" t="str">
        <f t="shared" si="1"/>
        <v/>
      </c>
      <c r="I14" s="91" t="str">
        <f t="shared" si="2"/>
        <v/>
      </c>
      <c r="J14" s="91" t="str">
        <f t="shared" si="3"/>
        <v/>
      </c>
      <c r="K14" s="91" t="str">
        <f t="shared" si="4"/>
        <v>▶</v>
      </c>
      <c r="L14" s="91" t="str">
        <f t="shared" si="5"/>
        <v>▶</v>
      </c>
      <c r="M14" s="91" t="str">
        <f t="shared" si="6"/>
        <v/>
      </c>
      <c r="N14" s="91" t="str">
        <f t="shared" si="7"/>
        <v/>
      </c>
      <c r="O14" s="91" t="str">
        <f t="shared" si="8"/>
        <v/>
      </c>
      <c r="P14" s="91" t="str">
        <f t="shared" si="9"/>
        <v/>
      </c>
      <c r="Q14" s="91" t="str">
        <f t="shared" si="10"/>
        <v/>
      </c>
      <c r="R14" s="91" t="str">
        <f t="shared" si="11"/>
        <v/>
      </c>
      <c r="S14" s="91" t="str">
        <f t="shared" si="12"/>
        <v/>
      </c>
      <c r="T14" s="91" t="str">
        <f t="shared" si="13"/>
        <v/>
      </c>
      <c r="U14" s="91" t="str">
        <f t="shared" si="14"/>
        <v/>
      </c>
      <c r="V14" s="91" t="str">
        <f t="shared" si="15"/>
        <v/>
      </c>
      <c r="W14" s="91" t="str">
        <f t="shared" si="16"/>
        <v/>
      </c>
      <c r="X14" s="91" t="str">
        <f t="shared" si="17"/>
        <v/>
      </c>
      <c r="Y14" s="91" t="str">
        <f t="shared" si="18"/>
        <v/>
      </c>
      <c r="Z14" s="91" t="str">
        <f t="shared" si="19"/>
        <v/>
      </c>
    </row>
    <row r="15" spans="1:28" x14ac:dyDescent="0.3">
      <c r="A15" t="s">
        <v>19</v>
      </c>
      <c r="B15" t="s">
        <v>26</v>
      </c>
      <c r="C15" t="s">
        <v>10</v>
      </c>
      <c r="D15" s="89">
        <v>46044</v>
      </c>
      <c r="E15">
        <v>9</v>
      </c>
      <c r="F15" s="90">
        <v>0.3</v>
      </c>
      <c r="G15" s="91" t="str">
        <f t="shared" si="0"/>
        <v/>
      </c>
      <c r="H15" s="91" t="str">
        <f t="shared" si="1"/>
        <v/>
      </c>
      <c r="I15" s="91" t="str">
        <f t="shared" si="2"/>
        <v/>
      </c>
      <c r="J15" s="91" t="str">
        <f t="shared" si="3"/>
        <v/>
      </c>
      <c r="K15" s="91" t="str">
        <f t="shared" si="4"/>
        <v>▶</v>
      </c>
      <c r="L15" s="91" t="str">
        <f t="shared" si="5"/>
        <v>▶</v>
      </c>
      <c r="M15" s="91" t="str">
        <f t="shared" si="6"/>
        <v/>
      </c>
      <c r="N15" s="91" t="str">
        <f t="shared" si="7"/>
        <v/>
      </c>
      <c r="O15" s="91" t="str">
        <f t="shared" si="8"/>
        <v/>
      </c>
      <c r="P15" s="91" t="str">
        <f t="shared" si="9"/>
        <v/>
      </c>
      <c r="Q15" s="91" t="str">
        <f t="shared" si="10"/>
        <v/>
      </c>
      <c r="R15" s="91" t="str">
        <f t="shared" si="11"/>
        <v/>
      </c>
      <c r="S15" s="91" t="str">
        <f t="shared" si="12"/>
        <v/>
      </c>
      <c r="T15" s="91" t="str">
        <f t="shared" si="13"/>
        <v/>
      </c>
      <c r="U15" s="91" t="str">
        <f t="shared" si="14"/>
        <v/>
      </c>
      <c r="V15" s="91" t="str">
        <f t="shared" si="15"/>
        <v/>
      </c>
      <c r="W15" s="91" t="str">
        <f t="shared" si="16"/>
        <v/>
      </c>
      <c r="X15" s="91" t="str">
        <f t="shared" si="17"/>
        <v/>
      </c>
      <c r="Y15" s="91" t="str">
        <f t="shared" si="18"/>
        <v/>
      </c>
      <c r="Z15" s="91" t="str">
        <f t="shared" si="19"/>
        <v/>
      </c>
    </row>
    <row r="16" spans="1:28" x14ac:dyDescent="0.3">
      <c r="A16" t="s">
        <v>19</v>
      </c>
      <c r="B16" t="s">
        <v>28</v>
      </c>
      <c r="C16" t="s">
        <v>29</v>
      </c>
      <c r="D16" s="89">
        <v>46040</v>
      </c>
      <c r="E16">
        <v>7</v>
      </c>
      <c r="F16" s="90">
        <v>0</v>
      </c>
      <c r="G16" s="91" t="str">
        <f t="shared" si="0"/>
        <v/>
      </c>
      <c r="H16" s="91" t="str">
        <f t="shared" si="1"/>
        <v/>
      </c>
      <c r="I16" s="91" t="str">
        <f t="shared" si="2"/>
        <v/>
      </c>
      <c r="J16" s="91" t="str">
        <f t="shared" si="3"/>
        <v>●</v>
      </c>
      <c r="K16" s="91" t="str">
        <f t="shared" si="4"/>
        <v>●</v>
      </c>
      <c r="L16" s="91" t="str">
        <f t="shared" si="5"/>
        <v>●</v>
      </c>
      <c r="M16" s="91" t="str">
        <f t="shared" si="6"/>
        <v/>
      </c>
      <c r="N16" s="91" t="str">
        <f t="shared" si="7"/>
        <v/>
      </c>
      <c r="O16" s="91" t="str">
        <f t="shared" si="8"/>
        <v/>
      </c>
      <c r="P16" s="91" t="str">
        <f t="shared" si="9"/>
        <v/>
      </c>
      <c r="Q16" s="91" t="str">
        <f t="shared" si="10"/>
        <v/>
      </c>
      <c r="R16" s="91" t="str">
        <f t="shared" si="11"/>
        <v/>
      </c>
      <c r="S16" s="91" t="str">
        <f t="shared" si="12"/>
        <v/>
      </c>
      <c r="T16" s="91" t="str">
        <f t="shared" si="13"/>
        <v/>
      </c>
      <c r="U16" s="91" t="str">
        <f t="shared" si="14"/>
        <v/>
      </c>
      <c r="V16" s="91" t="str">
        <f t="shared" si="15"/>
        <v/>
      </c>
      <c r="W16" s="91" t="str">
        <f t="shared" si="16"/>
        <v/>
      </c>
      <c r="X16" s="91" t="str">
        <f t="shared" si="17"/>
        <v/>
      </c>
      <c r="Y16" s="91" t="str">
        <f t="shared" si="18"/>
        <v/>
      </c>
      <c r="Z16" s="91" t="str">
        <f t="shared" si="19"/>
        <v/>
      </c>
    </row>
    <row r="17" spans="1:26" x14ac:dyDescent="0.3">
      <c r="A17" t="s">
        <v>19</v>
      </c>
      <c r="B17" t="s">
        <v>31</v>
      </c>
      <c r="C17" t="s">
        <v>29</v>
      </c>
      <c r="D17" s="89">
        <v>46045</v>
      </c>
      <c r="E17">
        <v>5</v>
      </c>
      <c r="F17" s="90">
        <v>0</v>
      </c>
      <c r="G17" s="91" t="str">
        <f t="shared" si="0"/>
        <v/>
      </c>
      <c r="H17" s="91" t="str">
        <f t="shared" si="1"/>
        <v/>
      </c>
      <c r="I17" s="91" t="str">
        <f t="shared" si="2"/>
        <v/>
      </c>
      <c r="J17" s="91" t="str">
        <f t="shared" si="3"/>
        <v/>
      </c>
      <c r="K17" s="91" t="str">
        <f t="shared" si="4"/>
        <v>●</v>
      </c>
      <c r="L17" s="91" t="str">
        <f t="shared" si="5"/>
        <v>●</v>
      </c>
      <c r="M17" s="91" t="str">
        <f t="shared" si="6"/>
        <v/>
      </c>
      <c r="N17" s="91" t="str">
        <f t="shared" si="7"/>
        <v/>
      </c>
      <c r="O17" s="91" t="str">
        <f t="shared" si="8"/>
        <v/>
      </c>
      <c r="P17" s="91" t="str">
        <f t="shared" si="9"/>
        <v/>
      </c>
      <c r="Q17" s="91" t="str">
        <f t="shared" si="10"/>
        <v/>
      </c>
      <c r="R17" s="91" t="str">
        <f t="shared" si="11"/>
        <v/>
      </c>
      <c r="S17" s="91" t="str">
        <f t="shared" si="12"/>
        <v/>
      </c>
      <c r="T17" s="91" t="str">
        <f t="shared" si="13"/>
        <v/>
      </c>
      <c r="U17" s="91" t="str">
        <f t="shared" si="14"/>
        <v/>
      </c>
      <c r="V17" s="91" t="str">
        <f t="shared" si="15"/>
        <v/>
      </c>
      <c r="W17" s="91" t="str">
        <f t="shared" si="16"/>
        <v/>
      </c>
      <c r="X17" s="91" t="str">
        <f t="shared" si="17"/>
        <v/>
      </c>
      <c r="Y17" s="91" t="str">
        <f t="shared" si="18"/>
        <v/>
      </c>
      <c r="Z17" s="91" t="str">
        <f t="shared" si="19"/>
        <v/>
      </c>
    </row>
    <row r="18" spans="1:26" x14ac:dyDescent="0.3">
      <c r="A18" t="s">
        <v>19</v>
      </c>
      <c r="B18" t="s">
        <v>33</v>
      </c>
      <c r="C18" t="s">
        <v>29</v>
      </c>
      <c r="D18" s="89">
        <v>46049</v>
      </c>
      <c r="E18">
        <v>4</v>
      </c>
      <c r="F18" s="90">
        <v>0</v>
      </c>
      <c r="G18" s="91" t="str">
        <f t="shared" si="0"/>
        <v/>
      </c>
      <c r="H18" s="91" t="str">
        <f t="shared" si="1"/>
        <v/>
      </c>
      <c r="I18" s="91" t="str">
        <f t="shared" si="2"/>
        <v/>
      </c>
      <c r="J18" s="91" t="str">
        <f t="shared" si="3"/>
        <v/>
      </c>
      <c r="K18" s="91" t="str">
        <f t="shared" si="4"/>
        <v/>
      </c>
      <c r="L18" s="91" t="str">
        <f t="shared" si="5"/>
        <v>●</v>
      </c>
      <c r="M18" s="91" t="str">
        <f t="shared" si="6"/>
        <v/>
      </c>
      <c r="N18" s="91" t="str">
        <f t="shared" si="7"/>
        <v/>
      </c>
      <c r="O18" s="91" t="str">
        <f t="shared" si="8"/>
        <v/>
      </c>
      <c r="P18" s="91" t="str">
        <f t="shared" si="9"/>
        <v/>
      </c>
      <c r="Q18" s="91" t="str">
        <f t="shared" si="10"/>
        <v/>
      </c>
      <c r="R18" s="91" t="str">
        <f t="shared" si="11"/>
        <v/>
      </c>
      <c r="S18" s="91" t="str">
        <f t="shared" si="12"/>
        <v/>
      </c>
      <c r="T18" s="91" t="str">
        <f t="shared" si="13"/>
        <v/>
      </c>
      <c r="U18" s="91" t="str">
        <f t="shared" si="14"/>
        <v/>
      </c>
      <c r="V18" s="91" t="str">
        <f t="shared" si="15"/>
        <v/>
      </c>
      <c r="W18" s="91" t="str">
        <f t="shared" si="16"/>
        <v/>
      </c>
      <c r="X18" s="91" t="str">
        <f t="shared" si="17"/>
        <v/>
      </c>
      <c r="Y18" s="91" t="str">
        <f t="shared" si="18"/>
        <v/>
      </c>
      <c r="Z18" s="91" t="str">
        <f t="shared" si="19"/>
        <v/>
      </c>
    </row>
    <row r="19" spans="1:26" x14ac:dyDescent="0.3">
      <c r="A19" t="s">
        <v>19</v>
      </c>
      <c r="B19" t="s">
        <v>35</v>
      </c>
      <c r="C19" t="s">
        <v>29</v>
      </c>
      <c r="D19" s="89">
        <v>46053</v>
      </c>
      <c r="E19">
        <v>4</v>
      </c>
      <c r="F19" s="90">
        <v>0</v>
      </c>
      <c r="G19" s="91" t="str">
        <f t="shared" si="0"/>
        <v/>
      </c>
      <c r="H19" s="91" t="str">
        <f t="shared" si="1"/>
        <v/>
      </c>
      <c r="I19" s="91" t="str">
        <f t="shared" si="2"/>
        <v/>
      </c>
      <c r="J19" s="91" t="str">
        <f t="shared" si="3"/>
        <v/>
      </c>
      <c r="K19" s="91" t="str">
        <f t="shared" si="4"/>
        <v/>
      </c>
      <c r="L19" s="91" t="str">
        <f t="shared" si="5"/>
        <v>●</v>
      </c>
      <c r="M19" s="91" t="str">
        <f t="shared" si="6"/>
        <v>●</v>
      </c>
      <c r="N19" s="91" t="str">
        <f t="shared" si="7"/>
        <v/>
      </c>
      <c r="O19" s="91" t="str">
        <f t="shared" si="8"/>
        <v/>
      </c>
      <c r="P19" s="91" t="str">
        <f t="shared" si="9"/>
        <v/>
      </c>
      <c r="Q19" s="91" t="str">
        <f t="shared" si="10"/>
        <v/>
      </c>
      <c r="R19" s="91" t="str">
        <f t="shared" si="11"/>
        <v/>
      </c>
      <c r="S19" s="91" t="str">
        <f t="shared" si="12"/>
        <v/>
      </c>
      <c r="T19" s="91" t="str">
        <f t="shared" si="13"/>
        <v/>
      </c>
      <c r="U19" s="91" t="str">
        <f t="shared" si="14"/>
        <v/>
      </c>
      <c r="V19" s="91" t="str">
        <f t="shared" si="15"/>
        <v/>
      </c>
      <c r="W19" s="91" t="str">
        <f t="shared" si="16"/>
        <v/>
      </c>
      <c r="X19" s="91" t="str">
        <f t="shared" si="17"/>
        <v/>
      </c>
      <c r="Y19" s="91" t="str">
        <f t="shared" si="18"/>
        <v/>
      </c>
      <c r="Z19" s="91" t="str">
        <f t="shared" si="19"/>
        <v/>
      </c>
    </row>
    <row r="20" spans="1:26" x14ac:dyDescent="0.3">
      <c r="A20" t="s">
        <v>19</v>
      </c>
      <c r="B20" t="s">
        <v>37</v>
      </c>
      <c r="C20" t="s">
        <v>29</v>
      </c>
      <c r="D20" s="89">
        <v>46060</v>
      </c>
      <c r="E20">
        <v>7</v>
      </c>
      <c r="F20" s="90">
        <v>0</v>
      </c>
      <c r="G20" s="91" t="str">
        <f t="shared" si="0"/>
        <v/>
      </c>
      <c r="H20" s="91" t="str">
        <f t="shared" si="1"/>
        <v/>
      </c>
      <c r="I20" s="91" t="str">
        <f t="shared" si="2"/>
        <v/>
      </c>
      <c r="J20" s="91" t="str">
        <f t="shared" si="3"/>
        <v/>
      </c>
      <c r="K20" s="91" t="str">
        <f t="shared" si="4"/>
        <v/>
      </c>
      <c r="L20" s="91" t="str">
        <f t="shared" si="5"/>
        <v/>
      </c>
      <c r="M20" s="91" t="str">
        <f t="shared" si="6"/>
        <v>●</v>
      </c>
      <c r="N20" s="91" t="str">
        <f t="shared" si="7"/>
        <v>●</v>
      </c>
      <c r="O20" s="91" t="str">
        <f t="shared" si="8"/>
        <v/>
      </c>
      <c r="P20" s="91" t="str">
        <f t="shared" si="9"/>
        <v/>
      </c>
      <c r="Q20" s="91" t="str">
        <f t="shared" si="10"/>
        <v/>
      </c>
      <c r="R20" s="91" t="str">
        <f t="shared" si="11"/>
        <v/>
      </c>
      <c r="S20" s="91" t="str">
        <f t="shared" si="12"/>
        <v/>
      </c>
      <c r="T20" s="91" t="str">
        <f t="shared" si="13"/>
        <v/>
      </c>
      <c r="U20" s="91" t="str">
        <f t="shared" si="14"/>
        <v/>
      </c>
      <c r="V20" s="91" t="str">
        <f t="shared" si="15"/>
        <v/>
      </c>
      <c r="W20" s="91" t="str">
        <f t="shared" si="16"/>
        <v/>
      </c>
      <c r="X20" s="91" t="str">
        <f t="shared" si="17"/>
        <v/>
      </c>
      <c r="Y20" s="91" t="str">
        <f t="shared" si="18"/>
        <v/>
      </c>
      <c r="Z20" s="91" t="str">
        <f t="shared" si="19"/>
        <v/>
      </c>
    </row>
    <row r="21" spans="1:26" x14ac:dyDescent="0.3">
      <c r="A21" t="s">
        <v>19</v>
      </c>
      <c r="B21" t="s">
        <v>40</v>
      </c>
      <c r="C21" t="s">
        <v>3</v>
      </c>
      <c r="D21" s="89">
        <v>46036</v>
      </c>
      <c r="E21">
        <v>1</v>
      </c>
      <c r="F21" s="90">
        <v>1</v>
      </c>
      <c r="G21" s="91" t="str">
        <f t="shared" si="0"/>
        <v/>
      </c>
      <c r="H21" s="91" t="str">
        <f t="shared" si="1"/>
        <v/>
      </c>
      <c r="I21" s="91" t="str">
        <f t="shared" si="2"/>
        <v/>
      </c>
      <c r="J21" s="91" t="str">
        <f t="shared" si="3"/>
        <v>✓</v>
      </c>
      <c r="K21" s="91" t="str">
        <f t="shared" si="4"/>
        <v/>
      </c>
      <c r="L21" s="91" t="str">
        <f t="shared" si="5"/>
        <v/>
      </c>
      <c r="M21" s="91" t="str">
        <f t="shared" si="6"/>
        <v/>
      </c>
      <c r="N21" s="91" t="str">
        <f t="shared" si="7"/>
        <v/>
      </c>
      <c r="O21" s="91" t="str">
        <f t="shared" si="8"/>
        <v/>
      </c>
      <c r="P21" s="91" t="str">
        <f t="shared" si="9"/>
        <v/>
      </c>
      <c r="Q21" s="91" t="str">
        <f t="shared" si="10"/>
        <v/>
      </c>
      <c r="R21" s="91" t="str">
        <f t="shared" si="11"/>
        <v/>
      </c>
      <c r="S21" s="91" t="str">
        <f t="shared" si="12"/>
        <v/>
      </c>
      <c r="T21" s="91" t="str">
        <f t="shared" si="13"/>
        <v/>
      </c>
      <c r="U21" s="91" t="str">
        <f t="shared" si="14"/>
        <v/>
      </c>
      <c r="V21" s="91" t="str">
        <f t="shared" si="15"/>
        <v/>
      </c>
      <c r="W21" s="91" t="str">
        <f t="shared" si="16"/>
        <v/>
      </c>
      <c r="X21" s="91" t="str">
        <f t="shared" si="17"/>
        <v/>
      </c>
      <c r="Y21" s="91" t="str">
        <f t="shared" si="18"/>
        <v/>
      </c>
      <c r="Z21" s="91" t="str">
        <f t="shared" si="19"/>
        <v/>
      </c>
    </row>
    <row r="22" spans="1:26" x14ac:dyDescent="0.3">
      <c r="A22" t="s">
        <v>39</v>
      </c>
      <c r="B22" t="s">
        <v>42</v>
      </c>
      <c r="C22" t="s">
        <v>3</v>
      </c>
      <c r="D22" s="89">
        <v>46036</v>
      </c>
      <c r="E22">
        <v>1</v>
      </c>
      <c r="F22" s="90">
        <v>1</v>
      </c>
      <c r="G22" s="91" t="str">
        <f t="shared" si="0"/>
        <v/>
      </c>
      <c r="H22" s="91" t="str">
        <f t="shared" si="1"/>
        <v/>
      </c>
      <c r="I22" s="91" t="str">
        <f t="shared" si="2"/>
        <v/>
      </c>
      <c r="J22" s="91" t="str">
        <f t="shared" si="3"/>
        <v>✓</v>
      </c>
      <c r="K22" s="91" t="str">
        <f t="shared" si="4"/>
        <v/>
      </c>
      <c r="L22" s="91" t="str">
        <f t="shared" si="5"/>
        <v/>
      </c>
      <c r="M22" s="91" t="str">
        <f t="shared" si="6"/>
        <v/>
      </c>
      <c r="N22" s="91" t="str">
        <f t="shared" si="7"/>
        <v/>
      </c>
      <c r="O22" s="91" t="str">
        <f t="shared" si="8"/>
        <v/>
      </c>
      <c r="P22" s="91" t="str">
        <f t="shared" si="9"/>
        <v/>
      </c>
      <c r="Q22" s="91" t="str">
        <f t="shared" si="10"/>
        <v/>
      </c>
      <c r="R22" s="91" t="str">
        <f t="shared" si="11"/>
        <v/>
      </c>
      <c r="S22" s="91" t="str">
        <f t="shared" si="12"/>
        <v/>
      </c>
      <c r="T22" s="91" t="str">
        <f t="shared" si="13"/>
        <v/>
      </c>
      <c r="U22" s="91" t="str">
        <f t="shared" si="14"/>
        <v/>
      </c>
      <c r="V22" s="91" t="str">
        <f t="shared" si="15"/>
        <v/>
      </c>
      <c r="W22" s="91" t="str">
        <f t="shared" si="16"/>
        <v/>
      </c>
      <c r="X22" s="91" t="str">
        <f t="shared" si="17"/>
        <v/>
      </c>
      <c r="Y22" s="91" t="str">
        <f t="shared" si="18"/>
        <v/>
      </c>
      <c r="Z22" s="91" t="str">
        <f t="shared" si="19"/>
        <v/>
      </c>
    </row>
    <row r="23" spans="1:26" x14ac:dyDescent="0.3">
      <c r="A23" t="s">
        <v>39</v>
      </c>
      <c r="B23" t="s">
        <v>44</v>
      </c>
      <c r="C23" t="s">
        <v>3</v>
      </c>
      <c r="D23" s="89">
        <v>46036</v>
      </c>
      <c r="E23">
        <v>1</v>
      </c>
      <c r="F23" s="90">
        <v>1</v>
      </c>
      <c r="G23" s="91" t="str">
        <f t="shared" si="0"/>
        <v/>
      </c>
      <c r="H23" s="91" t="str">
        <f t="shared" si="1"/>
        <v/>
      </c>
      <c r="I23" s="91" t="str">
        <f t="shared" si="2"/>
        <v/>
      </c>
      <c r="J23" s="91" t="str">
        <f t="shared" si="3"/>
        <v>✓</v>
      </c>
      <c r="K23" s="91" t="str">
        <f t="shared" si="4"/>
        <v/>
      </c>
      <c r="L23" s="91" t="str">
        <f t="shared" si="5"/>
        <v/>
      </c>
      <c r="M23" s="91" t="str">
        <f t="shared" si="6"/>
        <v/>
      </c>
      <c r="N23" s="91" t="str">
        <f t="shared" si="7"/>
        <v/>
      </c>
      <c r="O23" s="91" t="str">
        <f t="shared" si="8"/>
        <v/>
      </c>
      <c r="P23" s="91" t="str">
        <f t="shared" si="9"/>
        <v/>
      </c>
      <c r="Q23" s="91" t="str">
        <f t="shared" si="10"/>
        <v/>
      </c>
      <c r="R23" s="91" t="str">
        <f t="shared" si="11"/>
        <v/>
      </c>
      <c r="S23" s="91" t="str">
        <f t="shared" si="12"/>
        <v/>
      </c>
      <c r="T23" s="91" t="str">
        <f t="shared" si="13"/>
        <v/>
      </c>
      <c r="U23" s="91" t="str">
        <f t="shared" si="14"/>
        <v/>
      </c>
      <c r="V23" s="91" t="str">
        <f t="shared" si="15"/>
        <v/>
      </c>
      <c r="W23" s="91" t="str">
        <f t="shared" si="16"/>
        <v/>
      </c>
      <c r="X23" s="91" t="str">
        <f t="shared" si="17"/>
        <v/>
      </c>
      <c r="Y23" s="91" t="str">
        <f t="shared" si="18"/>
        <v/>
      </c>
      <c r="Z23" s="91" t="str">
        <f t="shared" si="19"/>
        <v/>
      </c>
    </row>
    <row r="24" spans="1:26" x14ac:dyDescent="0.3">
      <c r="A24" t="s">
        <v>39</v>
      </c>
      <c r="B24" t="s">
        <v>46</v>
      </c>
      <c r="C24" t="s">
        <v>10</v>
      </c>
      <c r="D24" s="89">
        <v>46044</v>
      </c>
      <c r="E24">
        <v>7</v>
      </c>
      <c r="F24" s="90">
        <v>0.5</v>
      </c>
      <c r="G24" s="91" t="str">
        <f t="shared" si="0"/>
        <v/>
      </c>
      <c r="H24" s="91" t="str">
        <f t="shared" si="1"/>
        <v/>
      </c>
      <c r="I24" s="91" t="str">
        <f t="shared" si="2"/>
        <v/>
      </c>
      <c r="J24" s="91" t="str">
        <f t="shared" si="3"/>
        <v/>
      </c>
      <c r="K24" s="91" t="str">
        <f t="shared" si="4"/>
        <v>▶</v>
      </c>
      <c r="L24" s="91" t="str">
        <f t="shared" si="5"/>
        <v>▶</v>
      </c>
      <c r="M24" s="91" t="str">
        <f t="shared" si="6"/>
        <v/>
      </c>
      <c r="N24" s="91" t="str">
        <f t="shared" si="7"/>
        <v/>
      </c>
      <c r="O24" s="91" t="str">
        <f t="shared" si="8"/>
        <v/>
      </c>
      <c r="P24" s="91" t="str">
        <f t="shared" si="9"/>
        <v/>
      </c>
      <c r="Q24" s="91" t="str">
        <f t="shared" si="10"/>
        <v/>
      </c>
      <c r="R24" s="91" t="str">
        <f t="shared" si="11"/>
        <v/>
      </c>
      <c r="S24" s="91" t="str">
        <f t="shared" si="12"/>
        <v/>
      </c>
      <c r="T24" s="91" t="str">
        <f t="shared" si="13"/>
        <v/>
      </c>
      <c r="U24" s="91" t="str">
        <f t="shared" si="14"/>
        <v/>
      </c>
      <c r="V24" s="91" t="str">
        <f t="shared" si="15"/>
        <v/>
      </c>
      <c r="W24" s="91" t="str">
        <f t="shared" si="16"/>
        <v/>
      </c>
      <c r="X24" s="91" t="str">
        <f t="shared" si="17"/>
        <v/>
      </c>
      <c r="Y24" s="91" t="str">
        <f t="shared" si="18"/>
        <v/>
      </c>
      <c r="Z24" s="91" t="str">
        <f t="shared" si="19"/>
        <v/>
      </c>
    </row>
    <row r="25" spans="1:26" x14ac:dyDescent="0.3">
      <c r="A25" t="s">
        <v>39</v>
      </c>
      <c r="B25" t="s">
        <v>49</v>
      </c>
      <c r="C25" t="s">
        <v>29</v>
      </c>
      <c r="D25" s="89">
        <v>46038</v>
      </c>
      <c r="E25">
        <v>7</v>
      </c>
      <c r="F25" s="90">
        <v>0</v>
      </c>
      <c r="G25" s="91" t="str">
        <f t="shared" si="0"/>
        <v/>
      </c>
      <c r="H25" s="91" t="str">
        <f t="shared" si="1"/>
        <v/>
      </c>
      <c r="I25" s="91" t="str">
        <f t="shared" si="2"/>
        <v/>
      </c>
      <c r="J25" s="91" t="str">
        <f t="shared" si="3"/>
        <v>●</v>
      </c>
      <c r="K25" s="91" t="str">
        <f t="shared" si="4"/>
        <v>●</v>
      </c>
      <c r="L25" s="91" t="str">
        <f t="shared" si="5"/>
        <v/>
      </c>
      <c r="M25" s="91" t="str">
        <f t="shared" si="6"/>
        <v/>
      </c>
      <c r="N25" s="91" t="str">
        <f t="shared" si="7"/>
        <v/>
      </c>
      <c r="O25" s="91" t="str">
        <f t="shared" si="8"/>
        <v/>
      </c>
      <c r="P25" s="91" t="str">
        <f t="shared" si="9"/>
        <v/>
      </c>
      <c r="Q25" s="91" t="str">
        <f t="shared" si="10"/>
        <v/>
      </c>
      <c r="R25" s="91" t="str">
        <f t="shared" si="11"/>
        <v/>
      </c>
      <c r="S25" s="91" t="str">
        <f t="shared" si="12"/>
        <v/>
      </c>
      <c r="T25" s="91" t="str">
        <f t="shared" si="13"/>
        <v/>
      </c>
      <c r="U25" s="91" t="str">
        <f t="shared" si="14"/>
        <v/>
      </c>
      <c r="V25" s="91" t="str">
        <f t="shared" si="15"/>
        <v/>
      </c>
      <c r="W25" s="91" t="str">
        <f t="shared" si="16"/>
        <v/>
      </c>
      <c r="X25" s="91" t="str">
        <f t="shared" si="17"/>
        <v/>
      </c>
      <c r="Y25" s="91" t="str">
        <f t="shared" si="18"/>
        <v/>
      </c>
      <c r="Z25" s="91" t="str">
        <f t="shared" si="19"/>
        <v/>
      </c>
    </row>
    <row r="26" spans="1:26" x14ac:dyDescent="0.3">
      <c r="A26" t="s">
        <v>48</v>
      </c>
      <c r="B26" t="s">
        <v>51</v>
      </c>
      <c r="C26" t="s">
        <v>29</v>
      </c>
      <c r="D26" s="89">
        <v>46045</v>
      </c>
      <c r="E26">
        <v>7</v>
      </c>
      <c r="F26" s="90">
        <v>0</v>
      </c>
      <c r="G26" s="91" t="str">
        <f t="shared" si="0"/>
        <v/>
      </c>
      <c r="H26" s="91" t="str">
        <f t="shared" si="1"/>
        <v/>
      </c>
      <c r="I26" s="91" t="str">
        <f t="shared" si="2"/>
        <v/>
      </c>
      <c r="J26" s="91" t="str">
        <f t="shared" si="3"/>
        <v/>
      </c>
      <c r="K26" s="91" t="str">
        <f t="shared" si="4"/>
        <v>●</v>
      </c>
      <c r="L26" s="91" t="str">
        <f t="shared" si="5"/>
        <v>●</v>
      </c>
      <c r="M26" s="91" t="str">
        <f t="shared" si="6"/>
        <v/>
      </c>
      <c r="N26" s="91" t="str">
        <f t="shared" si="7"/>
        <v/>
      </c>
      <c r="O26" s="91" t="str">
        <f t="shared" si="8"/>
        <v/>
      </c>
      <c r="P26" s="91" t="str">
        <f t="shared" si="9"/>
        <v/>
      </c>
      <c r="Q26" s="91" t="str">
        <f t="shared" si="10"/>
        <v/>
      </c>
      <c r="R26" s="91" t="str">
        <f t="shared" si="11"/>
        <v/>
      </c>
      <c r="S26" s="91" t="str">
        <f t="shared" si="12"/>
        <v/>
      </c>
      <c r="T26" s="91" t="str">
        <f t="shared" si="13"/>
        <v/>
      </c>
      <c r="U26" s="91" t="str">
        <f t="shared" si="14"/>
        <v/>
      </c>
      <c r="V26" s="91" t="str">
        <f t="shared" si="15"/>
        <v/>
      </c>
      <c r="W26" s="91" t="str">
        <f t="shared" si="16"/>
        <v/>
      </c>
      <c r="X26" s="91" t="str">
        <f t="shared" si="17"/>
        <v/>
      </c>
      <c r="Y26" s="91" t="str">
        <f t="shared" si="18"/>
        <v/>
      </c>
      <c r="Z26" s="91" t="str">
        <f t="shared" si="19"/>
        <v/>
      </c>
    </row>
    <row r="27" spans="1:26" x14ac:dyDescent="0.3">
      <c r="A27" t="s">
        <v>48</v>
      </c>
      <c r="B27" t="s">
        <v>53</v>
      </c>
      <c r="C27" t="s">
        <v>29</v>
      </c>
      <c r="D27" s="89">
        <v>46052</v>
      </c>
      <c r="E27">
        <v>7</v>
      </c>
      <c r="F27" s="90">
        <v>0</v>
      </c>
      <c r="G27" s="91" t="str">
        <f t="shared" si="0"/>
        <v/>
      </c>
      <c r="H27" s="91" t="str">
        <f t="shared" si="1"/>
        <v/>
      </c>
      <c r="I27" s="91" t="str">
        <f t="shared" si="2"/>
        <v/>
      </c>
      <c r="J27" s="91" t="str">
        <f t="shared" si="3"/>
        <v/>
      </c>
      <c r="K27" s="91" t="str">
        <f t="shared" si="4"/>
        <v/>
      </c>
      <c r="L27" s="91" t="str">
        <f t="shared" si="5"/>
        <v>●</v>
      </c>
      <c r="M27" s="91" t="str">
        <f t="shared" si="6"/>
        <v>●</v>
      </c>
      <c r="N27" s="91" t="str">
        <f t="shared" si="7"/>
        <v/>
      </c>
      <c r="O27" s="91" t="str">
        <f t="shared" si="8"/>
        <v/>
      </c>
      <c r="P27" s="91" t="str">
        <f t="shared" si="9"/>
        <v/>
      </c>
      <c r="Q27" s="91" t="str">
        <f t="shared" si="10"/>
        <v/>
      </c>
      <c r="R27" s="91" t="str">
        <f t="shared" si="11"/>
        <v/>
      </c>
      <c r="S27" s="91" t="str">
        <f t="shared" si="12"/>
        <v/>
      </c>
      <c r="T27" s="91" t="str">
        <f t="shared" si="13"/>
        <v/>
      </c>
      <c r="U27" s="91" t="str">
        <f t="shared" si="14"/>
        <v/>
      </c>
      <c r="V27" s="91" t="str">
        <f t="shared" si="15"/>
        <v/>
      </c>
      <c r="W27" s="91" t="str">
        <f t="shared" si="16"/>
        <v/>
      </c>
      <c r="X27" s="91" t="str">
        <f t="shared" si="17"/>
        <v/>
      </c>
      <c r="Y27" s="91" t="str">
        <f t="shared" si="18"/>
        <v/>
      </c>
      <c r="Z27" s="91" t="str">
        <f t="shared" si="19"/>
        <v/>
      </c>
    </row>
    <row r="28" spans="1:26" x14ac:dyDescent="0.3">
      <c r="A28" t="s">
        <v>48</v>
      </c>
      <c r="B28" t="s">
        <v>55</v>
      </c>
      <c r="C28" t="s">
        <v>29</v>
      </c>
      <c r="D28" s="89">
        <v>46057</v>
      </c>
      <c r="E28">
        <v>5</v>
      </c>
      <c r="F28" s="90">
        <v>0</v>
      </c>
      <c r="G28" s="91" t="str">
        <f t="shared" si="0"/>
        <v/>
      </c>
      <c r="H28" s="91" t="str">
        <f t="shared" si="1"/>
        <v/>
      </c>
      <c r="I28" s="91" t="str">
        <f t="shared" si="2"/>
        <v/>
      </c>
      <c r="J28" s="91" t="str">
        <f t="shared" si="3"/>
        <v/>
      </c>
      <c r="K28" s="91" t="str">
        <f t="shared" si="4"/>
        <v/>
      </c>
      <c r="L28" s="91" t="str">
        <f t="shared" si="5"/>
        <v/>
      </c>
      <c r="M28" s="91" t="str">
        <f t="shared" si="6"/>
        <v>●</v>
      </c>
      <c r="N28" s="91" t="str">
        <f t="shared" si="7"/>
        <v>●</v>
      </c>
      <c r="O28" s="91" t="str">
        <f t="shared" si="8"/>
        <v/>
      </c>
      <c r="P28" s="91" t="str">
        <f t="shared" si="9"/>
        <v/>
      </c>
      <c r="Q28" s="91" t="str">
        <f t="shared" si="10"/>
        <v/>
      </c>
      <c r="R28" s="91" t="str">
        <f t="shared" si="11"/>
        <v/>
      </c>
      <c r="S28" s="91" t="str">
        <f t="shared" si="12"/>
        <v/>
      </c>
      <c r="T28" s="91" t="str">
        <f t="shared" si="13"/>
        <v/>
      </c>
      <c r="U28" s="91" t="str">
        <f t="shared" si="14"/>
        <v/>
      </c>
      <c r="V28" s="91" t="str">
        <f t="shared" si="15"/>
        <v/>
      </c>
      <c r="W28" s="91" t="str">
        <f t="shared" si="16"/>
        <v/>
      </c>
      <c r="X28" s="91" t="str">
        <f t="shared" si="17"/>
        <v/>
      </c>
      <c r="Y28" s="91" t="str">
        <f t="shared" si="18"/>
        <v/>
      </c>
      <c r="Z28" s="91" t="str">
        <f t="shared" si="19"/>
        <v/>
      </c>
    </row>
    <row r="29" spans="1:26" x14ac:dyDescent="0.3">
      <c r="A29" t="s">
        <v>48</v>
      </c>
      <c r="B29" t="s">
        <v>57</v>
      </c>
      <c r="C29" t="s">
        <v>29</v>
      </c>
      <c r="D29" s="89">
        <v>46062</v>
      </c>
      <c r="E29">
        <v>5</v>
      </c>
      <c r="F29" s="90">
        <v>0</v>
      </c>
      <c r="G29" s="91" t="str">
        <f t="shared" si="0"/>
        <v/>
      </c>
      <c r="H29" s="91" t="str">
        <f t="shared" si="1"/>
        <v/>
      </c>
      <c r="I29" s="91" t="str">
        <f t="shared" si="2"/>
        <v/>
      </c>
      <c r="J29" s="91" t="str">
        <f t="shared" si="3"/>
        <v/>
      </c>
      <c r="K29" s="91" t="str">
        <f t="shared" si="4"/>
        <v/>
      </c>
      <c r="L29" s="91" t="str">
        <f t="shared" si="5"/>
        <v/>
      </c>
      <c r="M29" s="91" t="str">
        <f t="shared" si="6"/>
        <v/>
      </c>
      <c r="N29" s="91" t="str">
        <f t="shared" si="7"/>
        <v>●</v>
      </c>
      <c r="O29" s="91" t="str">
        <f t="shared" si="8"/>
        <v/>
      </c>
      <c r="P29" s="91" t="str">
        <f t="shared" si="9"/>
        <v/>
      </c>
      <c r="Q29" s="91" t="str">
        <f t="shared" si="10"/>
        <v/>
      </c>
      <c r="R29" s="91" t="str">
        <f t="shared" si="11"/>
        <v/>
      </c>
      <c r="S29" s="91" t="str">
        <f t="shared" si="12"/>
        <v/>
      </c>
      <c r="T29" s="91" t="str">
        <f t="shared" si="13"/>
        <v/>
      </c>
      <c r="U29" s="91" t="str">
        <f t="shared" si="14"/>
        <v/>
      </c>
      <c r="V29" s="91" t="str">
        <f t="shared" si="15"/>
        <v/>
      </c>
      <c r="W29" s="91" t="str">
        <f t="shared" si="16"/>
        <v/>
      </c>
      <c r="X29" s="91" t="str">
        <f t="shared" si="17"/>
        <v/>
      </c>
      <c r="Y29" s="91" t="str">
        <f t="shared" si="18"/>
        <v/>
      </c>
      <c r="Z29" s="91" t="str">
        <f t="shared" si="19"/>
        <v/>
      </c>
    </row>
    <row r="30" spans="1:26" x14ac:dyDescent="0.3">
      <c r="A30" t="s">
        <v>48</v>
      </c>
      <c r="B30" t="s">
        <v>60</v>
      </c>
      <c r="C30" t="s">
        <v>29</v>
      </c>
      <c r="D30" s="89">
        <v>46033</v>
      </c>
      <c r="E30">
        <v>7</v>
      </c>
      <c r="F30" s="90">
        <v>0.05</v>
      </c>
      <c r="G30" s="91" t="str">
        <f t="shared" si="0"/>
        <v/>
      </c>
      <c r="H30" s="91" t="str">
        <f t="shared" si="1"/>
        <v/>
      </c>
      <c r="I30" s="91" t="str">
        <f t="shared" si="2"/>
        <v>●</v>
      </c>
      <c r="J30" s="91" t="str">
        <f t="shared" si="3"/>
        <v>●</v>
      </c>
      <c r="K30" s="91" t="str">
        <f t="shared" si="4"/>
        <v>●</v>
      </c>
      <c r="L30" s="91" t="str">
        <f t="shared" si="5"/>
        <v/>
      </c>
      <c r="M30" s="91" t="str">
        <f t="shared" si="6"/>
        <v/>
      </c>
      <c r="N30" s="91" t="str">
        <f t="shared" si="7"/>
        <v/>
      </c>
      <c r="O30" s="91" t="str">
        <f t="shared" si="8"/>
        <v/>
      </c>
      <c r="P30" s="91" t="str">
        <f t="shared" si="9"/>
        <v/>
      </c>
      <c r="Q30" s="91" t="str">
        <f t="shared" si="10"/>
        <v/>
      </c>
      <c r="R30" s="91" t="str">
        <f t="shared" si="11"/>
        <v/>
      </c>
      <c r="S30" s="91" t="str">
        <f t="shared" si="12"/>
        <v/>
      </c>
      <c r="T30" s="91" t="str">
        <f t="shared" si="13"/>
        <v/>
      </c>
      <c r="U30" s="91" t="str">
        <f t="shared" si="14"/>
        <v/>
      </c>
      <c r="V30" s="91" t="str">
        <f t="shared" si="15"/>
        <v/>
      </c>
      <c r="W30" s="91" t="str">
        <f t="shared" si="16"/>
        <v/>
      </c>
      <c r="X30" s="91" t="str">
        <f t="shared" si="17"/>
        <v/>
      </c>
      <c r="Y30" s="91" t="str">
        <f t="shared" si="18"/>
        <v/>
      </c>
      <c r="Z30" s="91" t="str">
        <f t="shared" si="19"/>
        <v/>
      </c>
    </row>
    <row r="31" spans="1:26" x14ac:dyDescent="0.3">
      <c r="A31" t="s">
        <v>59</v>
      </c>
      <c r="B31" t="s">
        <v>62</v>
      </c>
      <c r="C31" t="s">
        <v>29</v>
      </c>
      <c r="D31" s="89">
        <v>46040</v>
      </c>
      <c r="E31">
        <v>7</v>
      </c>
      <c r="F31" s="90">
        <v>0</v>
      </c>
      <c r="G31" s="91" t="str">
        <f t="shared" si="0"/>
        <v/>
      </c>
      <c r="H31" s="91" t="str">
        <f t="shared" si="1"/>
        <v/>
      </c>
      <c r="I31" s="91" t="str">
        <f t="shared" si="2"/>
        <v/>
      </c>
      <c r="J31" s="91" t="str">
        <f t="shared" si="3"/>
        <v>●</v>
      </c>
      <c r="K31" s="91" t="str">
        <f t="shared" si="4"/>
        <v>●</v>
      </c>
      <c r="L31" s="91" t="str">
        <f t="shared" si="5"/>
        <v>●</v>
      </c>
      <c r="M31" s="91" t="str">
        <f t="shared" si="6"/>
        <v/>
      </c>
      <c r="N31" s="91" t="str">
        <f t="shared" si="7"/>
        <v/>
      </c>
      <c r="O31" s="91" t="str">
        <f t="shared" si="8"/>
        <v/>
      </c>
      <c r="P31" s="91" t="str">
        <f t="shared" si="9"/>
        <v/>
      </c>
      <c r="Q31" s="91" t="str">
        <f t="shared" si="10"/>
        <v/>
      </c>
      <c r="R31" s="91" t="str">
        <f t="shared" si="11"/>
        <v/>
      </c>
      <c r="S31" s="91" t="str">
        <f t="shared" si="12"/>
        <v/>
      </c>
      <c r="T31" s="91" t="str">
        <f t="shared" si="13"/>
        <v/>
      </c>
      <c r="U31" s="91" t="str">
        <f t="shared" si="14"/>
        <v/>
      </c>
      <c r="V31" s="91" t="str">
        <f t="shared" si="15"/>
        <v/>
      </c>
      <c r="W31" s="91" t="str">
        <f t="shared" si="16"/>
        <v/>
      </c>
      <c r="X31" s="91" t="str">
        <f t="shared" si="17"/>
        <v/>
      </c>
      <c r="Y31" s="91" t="str">
        <f t="shared" si="18"/>
        <v/>
      </c>
      <c r="Z31" s="91" t="str">
        <f t="shared" si="19"/>
        <v/>
      </c>
    </row>
    <row r="32" spans="1:26" x14ac:dyDescent="0.3">
      <c r="A32" t="s">
        <v>59</v>
      </c>
      <c r="B32" t="s">
        <v>64</v>
      </c>
      <c r="C32" t="s">
        <v>29</v>
      </c>
      <c r="D32" s="89">
        <v>46045</v>
      </c>
      <c r="E32">
        <v>5</v>
      </c>
      <c r="F32" s="90">
        <v>0</v>
      </c>
      <c r="G32" s="91" t="str">
        <f t="shared" si="0"/>
        <v/>
      </c>
      <c r="H32" s="91" t="str">
        <f t="shared" si="1"/>
        <v/>
      </c>
      <c r="I32" s="91" t="str">
        <f t="shared" si="2"/>
        <v/>
      </c>
      <c r="J32" s="91" t="str">
        <f t="shared" si="3"/>
        <v/>
      </c>
      <c r="K32" s="91" t="str">
        <f t="shared" si="4"/>
        <v>●</v>
      </c>
      <c r="L32" s="91" t="str">
        <f t="shared" si="5"/>
        <v>●</v>
      </c>
      <c r="M32" s="91" t="str">
        <f t="shared" si="6"/>
        <v/>
      </c>
      <c r="N32" s="91" t="str">
        <f t="shared" si="7"/>
        <v/>
      </c>
      <c r="O32" s="91" t="str">
        <f t="shared" si="8"/>
        <v/>
      </c>
      <c r="P32" s="91" t="str">
        <f t="shared" si="9"/>
        <v/>
      </c>
      <c r="Q32" s="91" t="str">
        <f t="shared" si="10"/>
        <v/>
      </c>
      <c r="R32" s="91" t="str">
        <f t="shared" si="11"/>
        <v/>
      </c>
      <c r="S32" s="91" t="str">
        <f t="shared" si="12"/>
        <v/>
      </c>
      <c r="T32" s="91" t="str">
        <f t="shared" si="13"/>
        <v/>
      </c>
      <c r="U32" s="91" t="str">
        <f t="shared" si="14"/>
        <v/>
      </c>
      <c r="V32" s="91" t="str">
        <f t="shared" si="15"/>
        <v/>
      </c>
      <c r="W32" s="91" t="str">
        <f t="shared" si="16"/>
        <v/>
      </c>
      <c r="X32" s="91" t="str">
        <f t="shared" si="17"/>
        <v/>
      </c>
      <c r="Y32" s="91" t="str">
        <f t="shared" si="18"/>
        <v/>
      </c>
      <c r="Z32" s="91" t="str">
        <f t="shared" si="19"/>
        <v/>
      </c>
    </row>
    <row r="33" spans="1:26" x14ac:dyDescent="0.3">
      <c r="A33" t="s">
        <v>59</v>
      </c>
      <c r="B33" t="s">
        <v>66</v>
      </c>
      <c r="C33" t="s">
        <v>29</v>
      </c>
      <c r="D33" s="89">
        <v>46050</v>
      </c>
      <c r="E33">
        <v>5</v>
      </c>
      <c r="F33" s="90">
        <v>0</v>
      </c>
      <c r="G33" s="91" t="str">
        <f t="shared" si="0"/>
        <v/>
      </c>
      <c r="H33" s="91" t="str">
        <f t="shared" si="1"/>
        <v/>
      </c>
      <c r="I33" s="91" t="str">
        <f t="shared" si="2"/>
        <v/>
      </c>
      <c r="J33" s="91" t="str">
        <f t="shared" si="3"/>
        <v/>
      </c>
      <c r="K33" s="91" t="str">
        <f t="shared" si="4"/>
        <v/>
      </c>
      <c r="L33" s="91" t="str">
        <f t="shared" si="5"/>
        <v>●</v>
      </c>
      <c r="M33" s="91" t="str">
        <f t="shared" si="6"/>
        <v>●</v>
      </c>
      <c r="N33" s="91" t="str">
        <f t="shared" si="7"/>
        <v/>
      </c>
      <c r="O33" s="91" t="str">
        <f t="shared" si="8"/>
        <v/>
      </c>
      <c r="P33" s="91" t="str">
        <f t="shared" si="9"/>
        <v/>
      </c>
      <c r="Q33" s="91" t="str">
        <f t="shared" si="10"/>
        <v/>
      </c>
      <c r="R33" s="91" t="str">
        <f t="shared" si="11"/>
        <v/>
      </c>
      <c r="S33" s="91" t="str">
        <f t="shared" si="12"/>
        <v/>
      </c>
      <c r="T33" s="91" t="str">
        <f t="shared" si="13"/>
        <v/>
      </c>
      <c r="U33" s="91" t="str">
        <f t="shared" si="14"/>
        <v/>
      </c>
      <c r="V33" s="91" t="str">
        <f t="shared" si="15"/>
        <v/>
      </c>
      <c r="W33" s="91" t="str">
        <f t="shared" si="16"/>
        <v/>
      </c>
      <c r="X33" s="91" t="str">
        <f t="shared" si="17"/>
        <v/>
      </c>
      <c r="Y33" s="91" t="str">
        <f t="shared" si="18"/>
        <v/>
      </c>
      <c r="Z33" s="91" t="str">
        <f t="shared" si="19"/>
        <v/>
      </c>
    </row>
    <row r="34" spans="1:26" x14ac:dyDescent="0.3">
      <c r="A34" t="s">
        <v>59</v>
      </c>
      <c r="B34" t="s">
        <v>68</v>
      </c>
      <c r="C34" t="s">
        <v>29</v>
      </c>
      <c r="D34" s="89">
        <v>46055</v>
      </c>
      <c r="E34">
        <v>5</v>
      </c>
      <c r="F34" s="90">
        <v>0</v>
      </c>
      <c r="G34" s="91" t="str">
        <f t="shared" si="0"/>
        <v/>
      </c>
      <c r="H34" s="91" t="str">
        <f t="shared" si="1"/>
        <v/>
      </c>
      <c r="I34" s="91" t="str">
        <f t="shared" si="2"/>
        <v/>
      </c>
      <c r="J34" s="91" t="str">
        <f t="shared" si="3"/>
        <v/>
      </c>
      <c r="K34" s="91" t="str">
        <f t="shared" si="4"/>
        <v/>
      </c>
      <c r="L34" s="91" t="str">
        <f t="shared" si="5"/>
        <v/>
      </c>
      <c r="M34" s="91" t="str">
        <f t="shared" si="6"/>
        <v>●</v>
      </c>
      <c r="N34" s="91" t="str">
        <f t="shared" si="7"/>
        <v/>
      </c>
      <c r="O34" s="91" t="str">
        <f t="shared" si="8"/>
        <v/>
      </c>
      <c r="P34" s="91" t="str">
        <f t="shared" si="9"/>
        <v/>
      </c>
      <c r="Q34" s="91" t="str">
        <f t="shared" si="10"/>
        <v/>
      </c>
      <c r="R34" s="91" t="str">
        <f t="shared" si="11"/>
        <v/>
      </c>
      <c r="S34" s="91" t="str">
        <f t="shared" si="12"/>
        <v/>
      </c>
      <c r="T34" s="91" t="str">
        <f t="shared" si="13"/>
        <v/>
      </c>
      <c r="U34" s="91" t="str">
        <f t="shared" si="14"/>
        <v/>
      </c>
      <c r="V34" s="91" t="str">
        <f t="shared" si="15"/>
        <v/>
      </c>
      <c r="W34" s="91" t="str">
        <f t="shared" si="16"/>
        <v/>
      </c>
      <c r="X34" s="91" t="str">
        <f t="shared" si="17"/>
        <v/>
      </c>
      <c r="Y34" s="91" t="str">
        <f t="shared" si="18"/>
        <v/>
      </c>
      <c r="Z34" s="91" t="str">
        <f t="shared" si="19"/>
        <v/>
      </c>
    </row>
    <row r="35" spans="1:26" x14ac:dyDescent="0.3">
      <c r="A35" t="s">
        <v>59</v>
      </c>
      <c r="B35" t="s">
        <v>71</v>
      </c>
      <c r="C35" t="s">
        <v>29</v>
      </c>
      <c r="D35" s="89">
        <v>46038</v>
      </c>
      <c r="E35">
        <v>7</v>
      </c>
      <c r="F35" s="90">
        <v>0</v>
      </c>
      <c r="G35" s="91" t="str">
        <f t="shared" si="0"/>
        <v/>
      </c>
      <c r="H35" s="91" t="str">
        <f t="shared" si="1"/>
        <v/>
      </c>
      <c r="I35" s="91" t="str">
        <f t="shared" si="2"/>
        <v/>
      </c>
      <c r="J35" s="91" t="str">
        <f t="shared" si="3"/>
        <v>●</v>
      </c>
      <c r="K35" s="91" t="str">
        <f t="shared" si="4"/>
        <v>●</v>
      </c>
      <c r="L35" s="91" t="str">
        <f t="shared" si="5"/>
        <v/>
      </c>
      <c r="M35" s="91" t="str">
        <f t="shared" si="6"/>
        <v/>
      </c>
      <c r="N35" s="91" t="str">
        <f t="shared" si="7"/>
        <v/>
      </c>
      <c r="O35" s="91" t="str">
        <f t="shared" si="8"/>
        <v/>
      </c>
      <c r="P35" s="91" t="str">
        <f t="shared" si="9"/>
        <v/>
      </c>
      <c r="Q35" s="91" t="str">
        <f t="shared" si="10"/>
        <v/>
      </c>
      <c r="R35" s="91" t="str">
        <f t="shared" si="11"/>
        <v/>
      </c>
      <c r="S35" s="91" t="str">
        <f t="shared" si="12"/>
        <v/>
      </c>
      <c r="T35" s="91" t="str">
        <f t="shared" si="13"/>
        <v/>
      </c>
      <c r="U35" s="91" t="str">
        <f t="shared" si="14"/>
        <v/>
      </c>
      <c r="V35" s="91" t="str">
        <f t="shared" si="15"/>
        <v/>
      </c>
      <c r="W35" s="91" t="str">
        <f t="shared" si="16"/>
        <v/>
      </c>
      <c r="X35" s="91" t="str">
        <f t="shared" si="17"/>
        <v/>
      </c>
      <c r="Y35" s="91" t="str">
        <f t="shared" si="18"/>
        <v/>
      </c>
      <c r="Z35" s="91" t="str">
        <f t="shared" si="19"/>
        <v/>
      </c>
    </row>
    <row r="36" spans="1:26" x14ac:dyDescent="0.3">
      <c r="A36" t="s">
        <v>70</v>
      </c>
      <c r="B36" t="s">
        <v>73</v>
      </c>
      <c r="C36" t="s">
        <v>29</v>
      </c>
      <c r="D36" s="89">
        <v>46043</v>
      </c>
      <c r="E36">
        <v>5</v>
      </c>
      <c r="F36" s="90">
        <v>0</v>
      </c>
      <c r="G36" s="91" t="str">
        <f t="shared" si="0"/>
        <v/>
      </c>
      <c r="H36" s="91" t="str">
        <f t="shared" si="1"/>
        <v/>
      </c>
      <c r="I36" s="91" t="str">
        <f t="shared" si="2"/>
        <v/>
      </c>
      <c r="J36" s="91" t="str">
        <f t="shared" si="3"/>
        <v/>
      </c>
      <c r="K36" s="91" t="str">
        <f t="shared" si="4"/>
        <v>●</v>
      </c>
      <c r="L36" s="91" t="str">
        <f t="shared" si="5"/>
        <v>●</v>
      </c>
      <c r="M36" s="91" t="str">
        <f t="shared" si="6"/>
        <v/>
      </c>
      <c r="N36" s="91" t="str">
        <f t="shared" si="7"/>
        <v/>
      </c>
      <c r="O36" s="91" t="str">
        <f t="shared" si="8"/>
        <v/>
      </c>
      <c r="P36" s="91" t="str">
        <f t="shared" si="9"/>
        <v/>
      </c>
      <c r="Q36" s="91" t="str">
        <f t="shared" si="10"/>
        <v/>
      </c>
      <c r="R36" s="91" t="str">
        <f t="shared" si="11"/>
        <v/>
      </c>
      <c r="S36" s="91" t="str">
        <f t="shared" si="12"/>
        <v/>
      </c>
      <c r="T36" s="91" t="str">
        <f t="shared" si="13"/>
        <v/>
      </c>
      <c r="U36" s="91" t="str">
        <f t="shared" si="14"/>
        <v/>
      </c>
      <c r="V36" s="91" t="str">
        <f t="shared" si="15"/>
        <v/>
      </c>
      <c r="W36" s="91" t="str">
        <f t="shared" si="16"/>
        <v/>
      </c>
      <c r="X36" s="91" t="str">
        <f t="shared" si="17"/>
        <v/>
      </c>
      <c r="Y36" s="91" t="str">
        <f t="shared" si="18"/>
        <v/>
      </c>
      <c r="Z36" s="91" t="str">
        <f t="shared" si="19"/>
        <v/>
      </c>
    </row>
    <row r="37" spans="1:26" x14ac:dyDescent="0.3">
      <c r="A37" t="s">
        <v>70</v>
      </c>
      <c r="B37" t="s">
        <v>75</v>
      </c>
      <c r="C37" t="s">
        <v>29</v>
      </c>
      <c r="D37" s="89">
        <v>46047</v>
      </c>
      <c r="E37">
        <v>4</v>
      </c>
      <c r="F37" s="90">
        <v>0</v>
      </c>
      <c r="G37" s="91" t="str">
        <f t="shared" si="0"/>
        <v/>
      </c>
      <c r="H37" s="91" t="str">
        <f t="shared" si="1"/>
        <v/>
      </c>
      <c r="I37" s="91" t="str">
        <f t="shared" si="2"/>
        <v/>
      </c>
      <c r="J37" s="91" t="str">
        <f t="shared" si="3"/>
        <v/>
      </c>
      <c r="K37" s="91" t="str">
        <f t="shared" si="4"/>
        <v>●</v>
      </c>
      <c r="L37" s="91" t="str">
        <f t="shared" si="5"/>
        <v>●</v>
      </c>
      <c r="M37" s="91" t="str">
        <f t="shared" si="6"/>
        <v/>
      </c>
      <c r="N37" s="91" t="str">
        <f t="shared" si="7"/>
        <v/>
      </c>
      <c r="O37" s="91" t="str">
        <f t="shared" si="8"/>
        <v/>
      </c>
      <c r="P37" s="91" t="str">
        <f t="shared" si="9"/>
        <v/>
      </c>
      <c r="Q37" s="91" t="str">
        <f t="shared" si="10"/>
        <v/>
      </c>
      <c r="R37" s="91" t="str">
        <f t="shared" si="11"/>
        <v/>
      </c>
      <c r="S37" s="91" t="str">
        <f t="shared" si="12"/>
        <v/>
      </c>
      <c r="T37" s="91" t="str">
        <f t="shared" si="13"/>
        <v/>
      </c>
      <c r="U37" s="91" t="str">
        <f t="shared" si="14"/>
        <v/>
      </c>
      <c r="V37" s="91" t="str">
        <f t="shared" si="15"/>
        <v/>
      </c>
      <c r="W37" s="91" t="str">
        <f t="shared" si="16"/>
        <v/>
      </c>
      <c r="X37" s="91" t="str">
        <f t="shared" si="17"/>
        <v/>
      </c>
      <c r="Y37" s="91" t="str">
        <f t="shared" si="18"/>
        <v/>
      </c>
      <c r="Z37" s="91" t="str">
        <f t="shared" si="19"/>
        <v/>
      </c>
    </row>
    <row r="38" spans="1:26" x14ac:dyDescent="0.3">
      <c r="A38" t="s">
        <v>70</v>
      </c>
      <c r="B38" t="s">
        <v>77</v>
      </c>
      <c r="C38" t="s">
        <v>29</v>
      </c>
      <c r="D38" s="89">
        <v>46051</v>
      </c>
      <c r="E38">
        <v>4</v>
      </c>
      <c r="F38" s="90">
        <v>0</v>
      </c>
      <c r="G38" s="91" t="str">
        <f t="shared" si="0"/>
        <v/>
      </c>
      <c r="H38" s="91" t="str">
        <f t="shared" si="1"/>
        <v/>
      </c>
      <c r="I38" s="91" t="str">
        <f t="shared" si="2"/>
        <v/>
      </c>
      <c r="J38" s="91" t="str">
        <f t="shared" si="3"/>
        <v/>
      </c>
      <c r="K38" s="91" t="str">
        <f t="shared" si="4"/>
        <v/>
      </c>
      <c r="L38" s="91" t="str">
        <f t="shared" si="5"/>
        <v>●</v>
      </c>
      <c r="M38" s="91" t="str">
        <f t="shared" si="6"/>
        <v>●</v>
      </c>
      <c r="N38" s="91" t="str">
        <f t="shared" si="7"/>
        <v/>
      </c>
      <c r="O38" s="91" t="str">
        <f t="shared" si="8"/>
        <v/>
      </c>
      <c r="P38" s="91" t="str">
        <f t="shared" si="9"/>
        <v/>
      </c>
      <c r="Q38" s="91" t="str">
        <f t="shared" si="10"/>
        <v/>
      </c>
      <c r="R38" s="91" t="str">
        <f t="shared" si="11"/>
        <v/>
      </c>
      <c r="S38" s="91" t="str">
        <f t="shared" si="12"/>
        <v/>
      </c>
      <c r="T38" s="91" t="str">
        <f t="shared" si="13"/>
        <v/>
      </c>
      <c r="U38" s="91" t="str">
        <f t="shared" si="14"/>
        <v/>
      </c>
      <c r="V38" s="91" t="str">
        <f t="shared" si="15"/>
        <v/>
      </c>
      <c r="W38" s="91" t="str">
        <f t="shared" si="16"/>
        <v/>
      </c>
      <c r="X38" s="91" t="str">
        <f t="shared" si="17"/>
        <v/>
      </c>
      <c r="Y38" s="91" t="str">
        <f t="shared" si="18"/>
        <v/>
      </c>
      <c r="Z38" s="91" t="str">
        <f t="shared" si="19"/>
        <v/>
      </c>
    </row>
    <row r="39" spans="1:26" x14ac:dyDescent="0.3">
      <c r="A39" t="s">
        <v>70</v>
      </c>
      <c r="B39" t="s">
        <v>80</v>
      </c>
      <c r="C39" t="s">
        <v>29</v>
      </c>
      <c r="D39" s="89">
        <v>46043</v>
      </c>
      <c r="E39">
        <v>7</v>
      </c>
      <c r="F39" s="90">
        <v>0</v>
      </c>
      <c r="G39" s="91" t="str">
        <f t="shared" si="0"/>
        <v/>
      </c>
      <c r="H39" s="91" t="str">
        <f t="shared" si="1"/>
        <v/>
      </c>
      <c r="I39" s="91" t="str">
        <f t="shared" si="2"/>
        <v/>
      </c>
      <c r="J39" s="91" t="str">
        <f t="shared" si="3"/>
        <v/>
      </c>
      <c r="K39" s="91" t="str">
        <f t="shared" si="4"/>
        <v>●</v>
      </c>
      <c r="L39" s="91" t="str">
        <f t="shared" si="5"/>
        <v>●</v>
      </c>
      <c r="M39" s="91" t="str">
        <f t="shared" si="6"/>
        <v/>
      </c>
      <c r="N39" s="91" t="str">
        <f t="shared" si="7"/>
        <v/>
      </c>
      <c r="O39" s="91" t="str">
        <f t="shared" si="8"/>
        <v/>
      </c>
      <c r="P39" s="91" t="str">
        <f t="shared" si="9"/>
        <v/>
      </c>
      <c r="Q39" s="91" t="str">
        <f t="shared" si="10"/>
        <v/>
      </c>
      <c r="R39" s="91" t="str">
        <f t="shared" si="11"/>
        <v/>
      </c>
      <c r="S39" s="91" t="str">
        <f t="shared" si="12"/>
        <v/>
      </c>
      <c r="T39" s="91" t="str">
        <f t="shared" si="13"/>
        <v/>
      </c>
      <c r="U39" s="91" t="str">
        <f t="shared" si="14"/>
        <v/>
      </c>
      <c r="V39" s="91" t="str">
        <f t="shared" si="15"/>
        <v/>
      </c>
      <c r="W39" s="91" t="str">
        <f t="shared" si="16"/>
        <v/>
      </c>
      <c r="X39" s="91" t="str">
        <f t="shared" si="17"/>
        <v/>
      </c>
      <c r="Y39" s="91" t="str">
        <f t="shared" si="18"/>
        <v/>
      </c>
      <c r="Z39" s="91" t="str">
        <f t="shared" si="19"/>
        <v/>
      </c>
    </row>
    <row r="40" spans="1:26" x14ac:dyDescent="0.3">
      <c r="A40" t="s">
        <v>79</v>
      </c>
      <c r="B40" t="s">
        <v>82</v>
      </c>
      <c r="C40" t="s">
        <v>29</v>
      </c>
      <c r="D40" s="89">
        <v>46048</v>
      </c>
      <c r="E40">
        <v>5</v>
      </c>
      <c r="F40" s="90">
        <v>0</v>
      </c>
      <c r="G40" s="91" t="str">
        <f t="shared" si="0"/>
        <v/>
      </c>
      <c r="H40" s="91" t="str">
        <f t="shared" si="1"/>
        <v/>
      </c>
      <c r="I40" s="91" t="str">
        <f t="shared" si="2"/>
        <v/>
      </c>
      <c r="J40" s="91" t="str">
        <f t="shared" si="3"/>
        <v/>
      </c>
      <c r="K40" s="91" t="str">
        <f t="shared" si="4"/>
        <v/>
      </c>
      <c r="L40" s="91" t="str">
        <f t="shared" si="5"/>
        <v>●</v>
      </c>
      <c r="M40" s="91" t="str">
        <f t="shared" si="6"/>
        <v/>
      </c>
      <c r="N40" s="91" t="str">
        <f t="shared" si="7"/>
        <v/>
      </c>
      <c r="O40" s="91" t="str">
        <f t="shared" si="8"/>
        <v/>
      </c>
      <c r="P40" s="91" t="str">
        <f t="shared" si="9"/>
        <v/>
      </c>
      <c r="Q40" s="91" t="str">
        <f t="shared" si="10"/>
        <v/>
      </c>
      <c r="R40" s="91" t="str">
        <f t="shared" si="11"/>
        <v/>
      </c>
      <c r="S40" s="91" t="str">
        <f t="shared" si="12"/>
        <v/>
      </c>
      <c r="T40" s="91" t="str">
        <f t="shared" si="13"/>
        <v/>
      </c>
      <c r="U40" s="91" t="str">
        <f t="shared" si="14"/>
        <v/>
      </c>
      <c r="V40" s="91" t="str">
        <f t="shared" si="15"/>
        <v/>
      </c>
      <c r="W40" s="91" t="str">
        <f t="shared" si="16"/>
        <v/>
      </c>
      <c r="X40" s="91" t="str">
        <f t="shared" si="17"/>
        <v/>
      </c>
      <c r="Y40" s="91" t="str">
        <f t="shared" si="18"/>
        <v/>
      </c>
      <c r="Z40" s="91" t="str">
        <f t="shared" si="19"/>
        <v/>
      </c>
    </row>
    <row r="41" spans="1:26" x14ac:dyDescent="0.3">
      <c r="A41" t="s">
        <v>79</v>
      </c>
      <c r="B41" t="s">
        <v>85</v>
      </c>
      <c r="C41" t="s">
        <v>29</v>
      </c>
      <c r="D41" s="89">
        <v>46056</v>
      </c>
      <c r="E41">
        <v>10</v>
      </c>
      <c r="F41" s="90">
        <v>0</v>
      </c>
      <c r="G41" s="91" t="str">
        <f t="shared" si="0"/>
        <v/>
      </c>
      <c r="H41" s="91" t="str">
        <f t="shared" si="1"/>
        <v/>
      </c>
      <c r="I41" s="91" t="str">
        <f t="shared" si="2"/>
        <v/>
      </c>
      <c r="J41" s="91" t="str">
        <f t="shared" si="3"/>
        <v/>
      </c>
      <c r="K41" s="91" t="str">
        <f t="shared" si="4"/>
        <v/>
      </c>
      <c r="L41" s="91" t="str">
        <f t="shared" si="5"/>
        <v/>
      </c>
      <c r="M41" s="91" t="str">
        <f t="shared" si="6"/>
        <v>●</v>
      </c>
      <c r="N41" s="91" t="str">
        <f t="shared" si="7"/>
        <v>●</v>
      </c>
      <c r="O41" s="91" t="str">
        <f t="shared" si="8"/>
        <v/>
      </c>
      <c r="P41" s="91" t="str">
        <f t="shared" si="9"/>
        <v/>
      </c>
      <c r="Q41" s="91" t="str">
        <f t="shared" si="10"/>
        <v/>
      </c>
      <c r="R41" s="91" t="str">
        <f t="shared" si="11"/>
        <v/>
      </c>
      <c r="S41" s="91" t="str">
        <f t="shared" si="12"/>
        <v/>
      </c>
      <c r="T41" s="91" t="str">
        <f t="shared" si="13"/>
        <v/>
      </c>
      <c r="U41" s="91" t="str">
        <f t="shared" si="14"/>
        <v/>
      </c>
      <c r="V41" s="91" t="str">
        <f t="shared" si="15"/>
        <v/>
      </c>
      <c r="W41" s="91" t="str">
        <f t="shared" si="16"/>
        <v/>
      </c>
      <c r="X41" s="91" t="str">
        <f t="shared" si="17"/>
        <v/>
      </c>
      <c r="Y41" s="91" t="str">
        <f t="shared" si="18"/>
        <v/>
      </c>
      <c r="Z41" s="91" t="str">
        <f t="shared" si="19"/>
        <v/>
      </c>
    </row>
    <row r="42" spans="1:26" x14ac:dyDescent="0.3">
      <c r="A42" t="s">
        <v>84</v>
      </c>
      <c r="B42" t="s">
        <v>87</v>
      </c>
      <c r="C42" t="s">
        <v>29</v>
      </c>
      <c r="D42" s="89">
        <v>46061</v>
      </c>
      <c r="E42">
        <v>5</v>
      </c>
      <c r="F42" s="90">
        <v>0</v>
      </c>
      <c r="G42" s="91" t="str">
        <f t="shared" si="0"/>
        <v/>
      </c>
      <c r="H42" s="91" t="str">
        <f t="shared" si="1"/>
        <v/>
      </c>
      <c r="I42" s="91" t="str">
        <f t="shared" si="2"/>
        <v/>
      </c>
      <c r="J42" s="91" t="str">
        <f t="shared" si="3"/>
        <v/>
      </c>
      <c r="K42" s="91" t="str">
        <f t="shared" si="4"/>
        <v/>
      </c>
      <c r="L42" s="91" t="str">
        <f t="shared" si="5"/>
        <v/>
      </c>
      <c r="M42" s="91" t="str">
        <f t="shared" si="6"/>
        <v>●</v>
      </c>
      <c r="N42" s="91" t="str">
        <f t="shared" si="7"/>
        <v>●</v>
      </c>
      <c r="O42" s="91" t="str">
        <f t="shared" si="8"/>
        <v/>
      </c>
      <c r="P42" s="91" t="str">
        <f t="shared" si="9"/>
        <v/>
      </c>
      <c r="Q42" s="91" t="str">
        <f t="shared" si="10"/>
        <v/>
      </c>
      <c r="R42" s="91" t="str">
        <f t="shared" si="11"/>
        <v/>
      </c>
      <c r="S42" s="91" t="str">
        <f t="shared" si="12"/>
        <v/>
      </c>
      <c r="T42" s="91" t="str">
        <f t="shared" si="13"/>
        <v/>
      </c>
      <c r="U42" s="91" t="str">
        <f t="shared" si="14"/>
        <v/>
      </c>
      <c r="V42" s="91" t="str">
        <f t="shared" si="15"/>
        <v/>
      </c>
      <c r="W42" s="91" t="str">
        <f t="shared" si="16"/>
        <v/>
      </c>
      <c r="X42" s="91" t="str">
        <f t="shared" si="17"/>
        <v/>
      </c>
      <c r="Y42" s="91" t="str">
        <f t="shared" si="18"/>
        <v/>
      </c>
      <c r="Z42" s="91" t="str">
        <f t="shared" si="19"/>
        <v/>
      </c>
    </row>
    <row r="43" spans="1:26" x14ac:dyDescent="0.3">
      <c r="A43" t="s">
        <v>84</v>
      </c>
      <c r="B43" t="s">
        <v>90</v>
      </c>
      <c r="C43" t="s">
        <v>29</v>
      </c>
      <c r="D43" s="89">
        <v>46060</v>
      </c>
      <c r="E43">
        <v>7</v>
      </c>
      <c r="F43" s="90">
        <v>0</v>
      </c>
      <c r="G43" s="91" t="str">
        <f t="shared" si="0"/>
        <v/>
      </c>
      <c r="H43" s="91" t="str">
        <f t="shared" si="1"/>
        <v/>
      </c>
      <c r="I43" s="91" t="str">
        <f t="shared" si="2"/>
        <v/>
      </c>
      <c r="J43" s="91" t="str">
        <f t="shared" si="3"/>
        <v/>
      </c>
      <c r="K43" s="91" t="str">
        <f t="shared" si="4"/>
        <v/>
      </c>
      <c r="L43" s="91" t="str">
        <f t="shared" si="5"/>
        <v/>
      </c>
      <c r="M43" s="91" t="str">
        <f t="shared" si="6"/>
        <v>●</v>
      </c>
      <c r="N43" s="91" t="str">
        <f t="shared" si="7"/>
        <v>●</v>
      </c>
      <c r="O43" s="91" t="str">
        <f t="shared" si="8"/>
        <v/>
      </c>
      <c r="P43" s="91" t="str">
        <f t="shared" si="9"/>
        <v/>
      </c>
      <c r="Q43" s="91" t="str">
        <f t="shared" si="10"/>
        <v/>
      </c>
      <c r="R43" s="91" t="str">
        <f t="shared" si="11"/>
        <v/>
      </c>
      <c r="S43" s="91" t="str">
        <f t="shared" si="12"/>
        <v/>
      </c>
      <c r="T43" s="91" t="str">
        <f t="shared" si="13"/>
        <v/>
      </c>
      <c r="U43" s="91" t="str">
        <f t="shared" si="14"/>
        <v/>
      </c>
      <c r="V43" s="91" t="str">
        <f t="shared" si="15"/>
        <v/>
      </c>
      <c r="W43" s="91" t="str">
        <f t="shared" si="16"/>
        <v/>
      </c>
      <c r="X43" s="91" t="str">
        <f t="shared" si="17"/>
        <v/>
      </c>
      <c r="Y43" s="91" t="str">
        <f t="shared" si="18"/>
        <v/>
      </c>
      <c r="Z43" s="91" t="str">
        <f t="shared" si="19"/>
        <v/>
      </c>
    </row>
    <row r="44" spans="1:26" x14ac:dyDescent="0.3">
      <c r="A44" t="s">
        <v>89</v>
      </c>
      <c r="B44" t="s">
        <v>92</v>
      </c>
      <c r="C44" t="s">
        <v>29</v>
      </c>
      <c r="D44" s="89">
        <v>46067</v>
      </c>
      <c r="E44">
        <v>7</v>
      </c>
      <c r="F44" s="90">
        <v>0</v>
      </c>
      <c r="G44" s="91" t="str">
        <f t="shared" si="0"/>
        <v/>
      </c>
      <c r="H44" s="91" t="str">
        <f t="shared" si="1"/>
        <v/>
      </c>
      <c r="I44" s="91" t="str">
        <f t="shared" si="2"/>
        <v/>
      </c>
      <c r="J44" s="91" t="str">
        <f t="shared" si="3"/>
        <v/>
      </c>
      <c r="K44" s="91" t="str">
        <f t="shared" si="4"/>
        <v/>
      </c>
      <c r="L44" s="91" t="str">
        <f t="shared" si="5"/>
        <v/>
      </c>
      <c r="M44" s="91" t="str">
        <f t="shared" si="6"/>
        <v/>
      </c>
      <c r="N44" s="91" t="str">
        <f t="shared" si="7"/>
        <v>●</v>
      </c>
      <c r="O44" s="91" t="str">
        <f t="shared" si="8"/>
        <v>●</v>
      </c>
      <c r="P44" s="91" t="str">
        <f t="shared" si="9"/>
        <v/>
      </c>
      <c r="Q44" s="91" t="str">
        <f t="shared" si="10"/>
        <v/>
      </c>
      <c r="R44" s="91" t="str">
        <f t="shared" si="11"/>
        <v/>
      </c>
      <c r="S44" s="91" t="str">
        <f t="shared" si="12"/>
        <v/>
      </c>
      <c r="T44" s="91" t="str">
        <f t="shared" si="13"/>
        <v/>
      </c>
      <c r="U44" s="91" t="str">
        <f t="shared" si="14"/>
        <v/>
      </c>
      <c r="V44" s="91" t="str">
        <f t="shared" si="15"/>
        <v/>
      </c>
      <c r="W44" s="91" t="str">
        <f t="shared" si="16"/>
        <v/>
      </c>
      <c r="X44" s="91" t="str">
        <f t="shared" si="17"/>
        <v/>
      </c>
      <c r="Y44" s="91" t="str">
        <f t="shared" si="18"/>
        <v/>
      </c>
      <c r="Z44" s="91" t="str">
        <f t="shared" si="19"/>
        <v/>
      </c>
    </row>
    <row r="45" spans="1:26" x14ac:dyDescent="0.3">
      <c r="A45" t="s">
        <v>89</v>
      </c>
      <c r="B45" t="s">
        <v>94</v>
      </c>
      <c r="C45" t="s">
        <v>29</v>
      </c>
      <c r="D45" s="89">
        <v>46072</v>
      </c>
      <c r="E45">
        <v>5</v>
      </c>
      <c r="F45" s="90">
        <v>0</v>
      </c>
      <c r="G45" s="91" t="str">
        <f t="shared" si="0"/>
        <v/>
      </c>
      <c r="H45" s="91" t="str">
        <f t="shared" si="1"/>
        <v/>
      </c>
      <c r="I45" s="91" t="str">
        <f t="shared" si="2"/>
        <v/>
      </c>
      <c r="J45" s="91" t="str">
        <f t="shared" si="3"/>
        <v/>
      </c>
      <c r="K45" s="91" t="str">
        <f t="shared" si="4"/>
        <v/>
      </c>
      <c r="L45" s="91" t="str">
        <f t="shared" si="5"/>
        <v/>
      </c>
      <c r="M45" s="91" t="str">
        <f t="shared" si="6"/>
        <v/>
      </c>
      <c r="N45" s="91" t="str">
        <f t="shared" si="7"/>
        <v/>
      </c>
      <c r="O45" s="91" t="str">
        <f t="shared" si="8"/>
        <v>●</v>
      </c>
      <c r="P45" s="91" t="str">
        <f t="shared" si="9"/>
        <v>●</v>
      </c>
      <c r="Q45" s="91" t="str">
        <f t="shared" si="10"/>
        <v/>
      </c>
      <c r="R45" s="91" t="str">
        <f t="shared" si="11"/>
        <v/>
      </c>
      <c r="S45" s="91" t="str">
        <f t="shared" si="12"/>
        <v/>
      </c>
      <c r="T45" s="91" t="str">
        <f t="shared" si="13"/>
        <v/>
      </c>
      <c r="U45" s="91" t="str">
        <f t="shared" si="14"/>
        <v/>
      </c>
      <c r="V45" s="91" t="str">
        <f t="shared" si="15"/>
        <v/>
      </c>
      <c r="W45" s="91" t="str">
        <f t="shared" si="16"/>
        <v/>
      </c>
      <c r="X45" s="91" t="str">
        <f t="shared" si="17"/>
        <v/>
      </c>
      <c r="Y45" s="91" t="str">
        <f t="shared" si="18"/>
        <v/>
      </c>
      <c r="Z45" s="91" t="str">
        <f t="shared" si="19"/>
        <v/>
      </c>
    </row>
    <row r="46" spans="1:26" x14ac:dyDescent="0.3">
      <c r="A46" t="s">
        <v>89</v>
      </c>
      <c r="B46" t="s">
        <v>97</v>
      </c>
      <c r="C46" t="s">
        <v>29</v>
      </c>
      <c r="D46" s="89">
        <v>46075</v>
      </c>
      <c r="E46">
        <v>3</v>
      </c>
      <c r="F46" s="90">
        <v>0</v>
      </c>
      <c r="G46" s="91" t="str">
        <f t="shared" si="0"/>
        <v/>
      </c>
      <c r="H46" s="91" t="str">
        <f t="shared" si="1"/>
        <v/>
      </c>
      <c r="I46" s="91" t="str">
        <f t="shared" si="2"/>
        <v/>
      </c>
      <c r="J46" s="91" t="str">
        <f t="shared" si="3"/>
        <v/>
      </c>
      <c r="K46" s="91" t="str">
        <f t="shared" si="4"/>
        <v/>
      </c>
      <c r="L46" s="91" t="str">
        <f t="shared" si="5"/>
        <v/>
      </c>
      <c r="M46" s="91" t="str">
        <f t="shared" si="6"/>
        <v/>
      </c>
      <c r="N46" s="91" t="str">
        <f t="shared" si="7"/>
        <v/>
      </c>
      <c r="O46" s="91" t="str">
        <f t="shared" si="8"/>
        <v>●</v>
      </c>
      <c r="P46" s="91" t="str">
        <f t="shared" si="9"/>
        <v>●</v>
      </c>
      <c r="Q46" s="91" t="str">
        <f t="shared" si="10"/>
        <v/>
      </c>
      <c r="R46" s="91" t="str">
        <f t="shared" si="11"/>
        <v/>
      </c>
      <c r="S46" s="91" t="str">
        <f t="shared" si="12"/>
        <v/>
      </c>
      <c r="T46" s="91" t="str">
        <f t="shared" si="13"/>
        <v/>
      </c>
      <c r="U46" s="91" t="str">
        <f t="shared" si="14"/>
        <v/>
      </c>
      <c r="V46" s="91" t="str">
        <f t="shared" si="15"/>
        <v/>
      </c>
      <c r="W46" s="91" t="str">
        <f t="shared" si="16"/>
        <v/>
      </c>
      <c r="X46" s="91" t="str">
        <f t="shared" si="17"/>
        <v/>
      </c>
      <c r="Y46" s="91" t="str">
        <f t="shared" si="18"/>
        <v/>
      </c>
      <c r="Z46" s="91" t="str">
        <f t="shared" si="19"/>
        <v/>
      </c>
    </row>
    <row r="47" spans="1:26" x14ac:dyDescent="0.3">
      <c r="A47" t="s">
        <v>96</v>
      </c>
      <c r="B47" t="s">
        <v>99</v>
      </c>
      <c r="C47" t="s">
        <v>100</v>
      </c>
      <c r="D47" s="89">
        <v>46076</v>
      </c>
      <c r="E47">
        <v>0</v>
      </c>
      <c r="F47" s="90">
        <v>1</v>
      </c>
      <c r="G47" s="91" t="str">
        <f t="shared" si="0"/>
        <v/>
      </c>
      <c r="H47" s="91" t="str">
        <f t="shared" si="1"/>
        <v/>
      </c>
      <c r="I47" s="91" t="str">
        <f t="shared" si="2"/>
        <v/>
      </c>
      <c r="J47" s="91" t="str">
        <f t="shared" si="3"/>
        <v/>
      </c>
      <c r="K47" s="91" t="str">
        <f t="shared" si="4"/>
        <v/>
      </c>
      <c r="L47" s="91" t="str">
        <f t="shared" si="5"/>
        <v/>
      </c>
      <c r="M47" s="91" t="str">
        <f t="shared" si="6"/>
        <v/>
      </c>
      <c r="N47" s="91" t="str">
        <f t="shared" si="7"/>
        <v/>
      </c>
      <c r="O47" s="91" t="str">
        <f t="shared" si="8"/>
        <v/>
      </c>
      <c r="P47" s="91" t="str">
        <f t="shared" si="9"/>
        <v>🎯</v>
      </c>
      <c r="Q47" s="91" t="str">
        <f t="shared" si="10"/>
        <v/>
      </c>
      <c r="R47" s="91" t="str">
        <f t="shared" si="11"/>
        <v/>
      </c>
      <c r="S47" s="91" t="str">
        <f t="shared" si="12"/>
        <v/>
      </c>
      <c r="T47" s="91" t="str">
        <f t="shared" si="13"/>
        <v/>
      </c>
      <c r="U47" s="91" t="str">
        <f t="shared" si="14"/>
        <v/>
      </c>
      <c r="V47" s="91" t="str">
        <f t="shared" si="15"/>
        <v/>
      </c>
      <c r="W47" s="91" t="str">
        <f t="shared" si="16"/>
        <v/>
      </c>
      <c r="X47" s="91" t="str">
        <f t="shared" si="17"/>
        <v/>
      </c>
      <c r="Y47" s="91" t="str">
        <f t="shared" si="18"/>
        <v/>
      </c>
      <c r="Z47" s="91" t="str">
        <f t="shared" si="19"/>
        <v/>
      </c>
    </row>
    <row r="49" spans="1:4" ht="15.6" x14ac:dyDescent="0.3">
      <c r="A49" s="92" t="s">
        <v>131</v>
      </c>
    </row>
    <row r="50" spans="1:4" x14ac:dyDescent="0.3">
      <c r="A50" s="93" t="s">
        <v>132</v>
      </c>
      <c r="B50" s="94" t="s">
        <v>133</v>
      </c>
      <c r="C50" s="95" t="s">
        <v>134</v>
      </c>
      <c r="D50" s="96" t="s">
        <v>135</v>
      </c>
    </row>
    <row r="52" spans="1:4" x14ac:dyDescent="0.3">
      <c r="A52" s="87" t="s">
        <v>137</v>
      </c>
    </row>
    <row r="53" spans="1:4" x14ac:dyDescent="0.3">
      <c r="A53" s="87" t="s">
        <v>138</v>
      </c>
      <c r="B53" t="s">
        <v>256</v>
      </c>
    </row>
    <row r="54" spans="1:4" x14ac:dyDescent="0.3">
      <c r="A54" s="87" t="s">
        <v>139</v>
      </c>
      <c r="B54" t="s">
        <v>257</v>
      </c>
    </row>
    <row r="55" spans="1:4" x14ac:dyDescent="0.3">
      <c r="A55" s="87" t="s">
        <v>140</v>
      </c>
      <c r="B55">
        <f>COUNTA(B4:B47)</f>
        <v>44</v>
      </c>
    </row>
    <row r="56" spans="1:4" x14ac:dyDescent="0.3">
      <c r="A56" s="87" t="s">
        <v>107</v>
      </c>
      <c r="B56" s="87">
        <f>COUNTIF(C4:C47,"Completado")</f>
        <v>9</v>
      </c>
    </row>
    <row r="57" spans="1:4" x14ac:dyDescent="0.3">
      <c r="A57" s="87" t="s">
        <v>108</v>
      </c>
      <c r="B57" s="87">
        <f>COUNTIF(C4:C47,"En Progreso")</f>
        <v>6</v>
      </c>
    </row>
    <row r="58" spans="1:4" x14ac:dyDescent="0.3">
      <c r="A58" s="87" t="s">
        <v>109</v>
      </c>
      <c r="B58" s="87">
        <f>COUNTIF(C4:C47,"Pendiente")</f>
        <v>27</v>
      </c>
    </row>
    <row r="59" spans="1:4" x14ac:dyDescent="0.3">
      <c r="A59" s="87" t="s">
        <v>110</v>
      </c>
      <c r="B59" s="87">
        <f>COUNTIF(C4:C47,"Hito")</f>
        <v>2</v>
      </c>
    </row>
    <row r="60" spans="1:4" x14ac:dyDescent="0.3">
      <c r="A60" s="87" t="s">
        <v>141</v>
      </c>
      <c r="B60" s="90">
        <v>0.15</v>
      </c>
    </row>
    <row r="61" spans="1:4" x14ac:dyDescent="0.3">
      <c r="A61" s="100" t="s">
        <v>152</v>
      </c>
    </row>
    <row r="63" spans="1:4" x14ac:dyDescent="0.3">
      <c r="A63" s="130" t="s">
        <v>258</v>
      </c>
    </row>
  </sheetData>
  <mergeCells count="2">
    <mergeCell ref="G3:Z3"/>
    <mergeCell ref="A1:F1"/>
  </mergeCells>
  <conditionalFormatting sqref="C4:C47 C50">
    <cfRule type="containsText" dxfId="6" priority="4" operator="containsText" text="Completado">
      <formula>NOT(ISERROR(SEARCH("Completado",C4)))</formula>
    </cfRule>
    <cfRule type="containsText" dxfId="5" priority="5" operator="containsText" text="En Progreso">
      <formula>NOT(ISERROR(SEARCH("En Progreso",C4)))</formula>
    </cfRule>
    <cfRule type="containsText" dxfId="4" priority="6" operator="containsText" text="Pendiente">
      <formula>NOT(ISERROR(SEARCH("Pendiente",C4)))</formula>
    </cfRule>
    <cfRule type="containsText" dxfId="3" priority="7" operator="containsText" text="Hito">
      <formula>NOT(ISERROR(SEARCH("Hito",C4)))</formula>
    </cfRule>
  </conditionalFormatting>
  <conditionalFormatting sqref="G4:Z47">
    <cfRule type="containsText" dxfId="2" priority="1" operator="containsText" text="✓">
      <formula>NOT(ISERROR(SEARCH("✓",G4)))</formula>
    </cfRule>
    <cfRule type="containsText" dxfId="1" priority="2" operator="containsText" text="▶">
      <formula>NOT(ISERROR(SEARCH("▶",G4)))</formula>
    </cfRule>
    <cfRule type="containsText" dxfId="0" priority="3" operator="containsText" text="●">
      <formula>NOT(ISERROR(SEARCH("●",G4)))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5B1E-B888-4AB8-A7E8-FEE8A50DFC8D}">
  <dimension ref="A1:O60"/>
  <sheetViews>
    <sheetView workbookViewId="0">
      <selection activeCell="A2" sqref="A2:H2"/>
    </sheetView>
  </sheetViews>
  <sheetFormatPr baseColWidth="10" defaultRowHeight="14.4" x14ac:dyDescent="0.3"/>
  <cols>
    <col min="1" max="1" width="33.33203125" customWidth="1"/>
    <col min="2" max="3" width="11.109375" customWidth="1"/>
    <col min="4" max="4" width="43" bestFit="1" customWidth="1"/>
    <col min="5" max="5" width="13.5546875" bestFit="1" customWidth="1"/>
    <col min="7" max="7" width="15.77734375" customWidth="1"/>
    <col min="8" max="8" width="18.5546875" customWidth="1"/>
    <col min="9" max="9" width="37" customWidth="1"/>
    <col min="10" max="10" width="13" customWidth="1"/>
    <col min="11" max="11" width="27.77734375" customWidth="1"/>
    <col min="13" max="13" width="17.88671875" bestFit="1" customWidth="1"/>
    <col min="14" max="14" width="16" bestFit="1" customWidth="1"/>
  </cols>
  <sheetData>
    <row r="1" spans="1:14" ht="23.4" x14ac:dyDescent="0.45">
      <c r="A1" s="113" t="s">
        <v>159</v>
      </c>
      <c r="B1" s="105"/>
      <c r="C1" s="105"/>
      <c r="D1" s="105"/>
      <c r="E1" s="105"/>
      <c r="F1" s="105"/>
      <c r="G1" s="105"/>
      <c r="H1" s="105"/>
    </row>
    <row r="2" spans="1:14" x14ac:dyDescent="0.3">
      <c r="A2" s="114" t="s">
        <v>160</v>
      </c>
      <c r="B2" s="105"/>
      <c r="C2" s="105"/>
      <c r="D2" s="105"/>
      <c r="E2" s="105"/>
      <c r="F2" s="105"/>
      <c r="G2" s="105"/>
      <c r="H2" s="105"/>
    </row>
    <row r="4" spans="1:14" x14ac:dyDescent="0.3">
      <c r="A4" s="115" t="s">
        <v>161</v>
      </c>
      <c r="B4" s="105"/>
      <c r="C4" s="105"/>
      <c r="D4" s="105"/>
      <c r="G4" s="121" t="s">
        <v>186</v>
      </c>
      <c r="H4" s="105"/>
      <c r="I4" s="105"/>
      <c r="J4" s="105"/>
      <c r="K4" s="105"/>
      <c r="M4" s="87" t="s">
        <v>126</v>
      </c>
      <c r="N4" s="87" t="s">
        <v>249</v>
      </c>
    </row>
    <row r="5" spans="1:14" x14ac:dyDescent="0.3">
      <c r="A5" s="116" t="s">
        <v>162</v>
      </c>
      <c r="B5" s="116" t="s">
        <v>163</v>
      </c>
      <c r="G5" s="122" t="s">
        <v>187</v>
      </c>
      <c r="H5" s="122" t="s">
        <v>173</v>
      </c>
      <c r="I5" s="122" t="s">
        <v>188</v>
      </c>
      <c r="J5" s="122" t="s">
        <v>189</v>
      </c>
      <c r="K5" s="122" t="s">
        <v>190</v>
      </c>
      <c r="M5" t="s">
        <v>250</v>
      </c>
      <c r="N5">
        <v>15</v>
      </c>
    </row>
    <row r="6" spans="1:14" x14ac:dyDescent="0.3">
      <c r="A6" t="s">
        <v>164</v>
      </c>
      <c r="B6" s="90">
        <v>0.15</v>
      </c>
      <c r="G6" s="123" t="s">
        <v>191</v>
      </c>
      <c r="H6" s="123" t="s">
        <v>192</v>
      </c>
      <c r="I6" s="123" t="s">
        <v>193</v>
      </c>
      <c r="J6" s="124">
        <v>1</v>
      </c>
      <c r="K6" s="123" t="s">
        <v>194</v>
      </c>
      <c r="M6" t="s">
        <v>251</v>
      </c>
      <c r="N6">
        <v>10</v>
      </c>
    </row>
    <row r="7" spans="1:14" x14ac:dyDescent="0.3">
      <c r="A7" t="s">
        <v>165</v>
      </c>
      <c r="B7" s="90">
        <v>0.25</v>
      </c>
      <c r="G7" s="123" t="s">
        <v>195</v>
      </c>
      <c r="H7" s="123" t="s">
        <v>192</v>
      </c>
      <c r="I7" s="123" t="s">
        <v>196</v>
      </c>
      <c r="J7" s="124">
        <v>1</v>
      </c>
      <c r="K7" s="123" t="s">
        <v>3</v>
      </c>
      <c r="M7" t="s">
        <v>252</v>
      </c>
      <c r="N7">
        <v>75</v>
      </c>
    </row>
    <row r="8" spans="1:14" x14ac:dyDescent="0.3">
      <c r="A8" t="s">
        <v>166</v>
      </c>
      <c r="B8">
        <f ca="1">_xlfn.DAYS(TODAY(),DATE(2025,12,15))</f>
        <v>170</v>
      </c>
      <c r="G8" s="134">
        <v>46023</v>
      </c>
      <c r="H8" s="123" t="s">
        <v>192</v>
      </c>
      <c r="I8" s="123" t="s">
        <v>197</v>
      </c>
      <c r="J8" s="124">
        <v>1</v>
      </c>
      <c r="K8" s="123" t="s">
        <v>3</v>
      </c>
    </row>
    <row r="9" spans="1:14" x14ac:dyDescent="0.3">
      <c r="A9" t="s">
        <v>167</v>
      </c>
      <c r="B9">
        <f ca="1">_xlfn.DAYS(DATE(2026,4,22),TODAY())</f>
        <v>-42</v>
      </c>
      <c r="G9" s="123" t="s">
        <v>198</v>
      </c>
      <c r="H9" s="123" t="s">
        <v>199</v>
      </c>
      <c r="I9" s="123" t="s">
        <v>200</v>
      </c>
      <c r="J9" s="124">
        <v>1</v>
      </c>
      <c r="K9" s="123" t="s">
        <v>201</v>
      </c>
    </row>
    <row r="10" spans="1:14" x14ac:dyDescent="0.3">
      <c r="A10" t="s">
        <v>168</v>
      </c>
      <c r="B10">
        <v>9</v>
      </c>
      <c r="G10" s="123" t="s">
        <v>202</v>
      </c>
      <c r="H10" s="123" t="s">
        <v>203</v>
      </c>
      <c r="I10" s="123" t="s">
        <v>204</v>
      </c>
      <c r="J10" s="124">
        <v>1</v>
      </c>
      <c r="K10" s="123" t="s">
        <v>205</v>
      </c>
    </row>
    <row r="11" spans="1:14" x14ac:dyDescent="0.3">
      <c r="A11" t="s">
        <v>169</v>
      </c>
      <c r="B11">
        <v>6</v>
      </c>
      <c r="G11" s="123" t="s">
        <v>202</v>
      </c>
      <c r="H11" s="123" t="s">
        <v>199</v>
      </c>
      <c r="I11" s="123" t="s">
        <v>206</v>
      </c>
      <c r="J11" s="124">
        <v>1</v>
      </c>
      <c r="K11" s="123" t="s">
        <v>207</v>
      </c>
    </row>
    <row r="12" spans="1:14" x14ac:dyDescent="0.3">
      <c r="A12" t="s">
        <v>170</v>
      </c>
      <c r="B12">
        <v>29</v>
      </c>
      <c r="G12" s="123" t="s">
        <v>208</v>
      </c>
      <c r="H12" s="123" t="s">
        <v>199</v>
      </c>
      <c r="I12" s="123" t="s">
        <v>209</v>
      </c>
      <c r="J12" s="124">
        <v>1</v>
      </c>
      <c r="K12" s="123" t="s">
        <v>210</v>
      </c>
    </row>
    <row r="13" spans="1:14" x14ac:dyDescent="0.3">
      <c r="A13" t="s">
        <v>171</v>
      </c>
      <c r="B13">
        <v>44</v>
      </c>
      <c r="G13" s="123" t="s">
        <v>208</v>
      </c>
      <c r="H13" s="123" t="s">
        <v>211</v>
      </c>
      <c r="I13" s="123" t="s">
        <v>212</v>
      </c>
      <c r="J13" s="124">
        <v>0.6</v>
      </c>
      <c r="K13" s="123" t="s">
        <v>213</v>
      </c>
    </row>
    <row r="14" spans="1:14" x14ac:dyDescent="0.3">
      <c r="G14" s="123"/>
      <c r="H14" s="123"/>
      <c r="I14" s="123"/>
      <c r="J14" s="123"/>
      <c r="K14" s="123"/>
    </row>
    <row r="15" spans="1:14" x14ac:dyDescent="0.3">
      <c r="A15" s="115" t="s">
        <v>172</v>
      </c>
      <c r="B15" s="105"/>
      <c r="C15" s="105"/>
      <c r="D15" s="105"/>
      <c r="E15" s="105"/>
      <c r="G15" s="123"/>
      <c r="H15" s="123"/>
      <c r="I15" s="123"/>
      <c r="J15" s="123"/>
      <c r="K15" s="123"/>
    </row>
    <row r="16" spans="1:14" x14ac:dyDescent="0.3">
      <c r="A16" s="116" t="s">
        <v>173</v>
      </c>
      <c r="B16" s="116" t="s">
        <v>174</v>
      </c>
      <c r="C16" s="116" t="s">
        <v>175</v>
      </c>
      <c r="D16" s="116" t="s">
        <v>176</v>
      </c>
      <c r="E16" s="116" t="s">
        <v>177</v>
      </c>
      <c r="G16" s="123"/>
      <c r="H16" s="123"/>
      <c r="I16" s="123"/>
      <c r="J16" s="123"/>
      <c r="K16" s="123"/>
    </row>
    <row r="17" spans="1:14" x14ac:dyDescent="0.3">
      <c r="A17" t="s">
        <v>178</v>
      </c>
      <c r="B17" s="90">
        <v>0.25</v>
      </c>
      <c r="C17" s="90">
        <v>0.35</v>
      </c>
      <c r="D17" s="118">
        <f>B17*C17</f>
        <v>8.7499999999999994E-2</v>
      </c>
      <c r="G17" s="123"/>
      <c r="H17" s="123"/>
      <c r="I17" s="123"/>
      <c r="J17" s="123"/>
      <c r="K17" s="123"/>
    </row>
    <row r="18" spans="1:14" x14ac:dyDescent="0.3">
      <c r="A18" t="s">
        <v>179</v>
      </c>
      <c r="B18" s="90">
        <v>0.2</v>
      </c>
      <c r="C18" s="90">
        <v>0.2</v>
      </c>
      <c r="D18" s="118">
        <f>B18*C18</f>
        <v>4.0000000000000008E-2</v>
      </c>
    </row>
    <row r="19" spans="1:14" x14ac:dyDescent="0.3">
      <c r="A19" t="s">
        <v>59</v>
      </c>
      <c r="B19" s="90">
        <v>0.2</v>
      </c>
      <c r="C19" s="90">
        <v>0.05</v>
      </c>
      <c r="D19" s="118">
        <f>B19*C19</f>
        <v>1.0000000000000002E-2</v>
      </c>
      <c r="G19" s="128" t="s">
        <v>232</v>
      </c>
      <c r="H19" s="105"/>
      <c r="I19" s="105"/>
      <c r="J19" s="105"/>
      <c r="K19" s="105"/>
    </row>
    <row r="20" spans="1:14" x14ac:dyDescent="0.3">
      <c r="A20" t="s">
        <v>180</v>
      </c>
      <c r="B20" s="90">
        <v>0.15</v>
      </c>
      <c r="C20" s="90">
        <v>0</v>
      </c>
      <c r="D20" s="118">
        <f>B20*C20</f>
        <v>0</v>
      </c>
      <c r="G20" s="129" t="s">
        <v>233</v>
      </c>
      <c r="H20" s="129" t="s">
        <v>234</v>
      </c>
      <c r="I20" s="129" t="s">
        <v>235</v>
      </c>
      <c r="J20" s="129" t="s">
        <v>236</v>
      </c>
      <c r="K20" s="129" t="s">
        <v>126</v>
      </c>
    </row>
    <row r="21" spans="1:14" x14ac:dyDescent="0.3">
      <c r="A21" t="s">
        <v>181</v>
      </c>
      <c r="B21" s="90">
        <v>0.1</v>
      </c>
      <c r="C21" s="90">
        <v>0</v>
      </c>
      <c r="D21" s="118">
        <f>B21*C21</f>
        <v>0</v>
      </c>
      <c r="G21" s="123">
        <v>1</v>
      </c>
      <c r="H21" s="123" t="s">
        <v>237</v>
      </c>
      <c r="I21" s="123" t="s">
        <v>238</v>
      </c>
      <c r="J21" s="123" t="s">
        <v>239</v>
      </c>
      <c r="K21" s="123" t="s">
        <v>240</v>
      </c>
    </row>
    <row r="22" spans="1:14" x14ac:dyDescent="0.3">
      <c r="A22" t="s">
        <v>182</v>
      </c>
      <c r="B22" s="90">
        <v>0.05</v>
      </c>
      <c r="C22" s="90">
        <v>0</v>
      </c>
      <c r="D22" s="118">
        <f>B22*C22</f>
        <v>0</v>
      </c>
      <c r="G22" s="123">
        <v>2</v>
      </c>
      <c r="H22" s="123" t="s">
        <v>237</v>
      </c>
      <c r="I22" s="123" t="s">
        <v>241</v>
      </c>
      <c r="J22" s="123" t="s">
        <v>239</v>
      </c>
      <c r="K22" s="123" t="s">
        <v>240</v>
      </c>
    </row>
    <row r="23" spans="1:14" x14ac:dyDescent="0.3">
      <c r="A23" t="s">
        <v>84</v>
      </c>
      <c r="B23" s="90">
        <v>0.02</v>
      </c>
      <c r="C23" s="90">
        <v>0</v>
      </c>
      <c r="D23" s="118">
        <f>B23*C23</f>
        <v>0</v>
      </c>
      <c r="G23" s="123">
        <v>3</v>
      </c>
      <c r="H23" s="123" t="s">
        <v>237</v>
      </c>
      <c r="I23" s="123" t="s">
        <v>242</v>
      </c>
      <c r="J23" s="123" t="s">
        <v>239</v>
      </c>
      <c r="K23" s="123" t="s">
        <v>240</v>
      </c>
    </row>
    <row r="24" spans="1:14" x14ac:dyDescent="0.3">
      <c r="A24" t="s">
        <v>183</v>
      </c>
      <c r="B24" s="90">
        <v>0.02</v>
      </c>
      <c r="C24" s="90">
        <v>0.05</v>
      </c>
      <c r="D24" s="118">
        <f>B24*C24</f>
        <v>1E-3</v>
      </c>
      <c r="G24" s="123">
        <v>4</v>
      </c>
      <c r="H24" s="123" t="s">
        <v>237</v>
      </c>
      <c r="I24" s="123" t="s">
        <v>243</v>
      </c>
      <c r="J24" s="123" t="s">
        <v>239</v>
      </c>
      <c r="K24" s="123" t="s">
        <v>240</v>
      </c>
    </row>
    <row r="25" spans="1:14" x14ac:dyDescent="0.3">
      <c r="A25" t="s">
        <v>184</v>
      </c>
      <c r="B25" s="90">
        <v>0.01</v>
      </c>
      <c r="C25" s="90">
        <v>0.1</v>
      </c>
      <c r="D25" s="118">
        <f>B25*C25</f>
        <v>1E-3</v>
      </c>
      <c r="G25" s="123">
        <v>5</v>
      </c>
      <c r="H25" s="123" t="s">
        <v>237</v>
      </c>
      <c r="I25" s="123" t="s">
        <v>244</v>
      </c>
      <c r="J25" s="123" t="s">
        <v>239</v>
      </c>
      <c r="K25" s="123" t="s">
        <v>240</v>
      </c>
    </row>
    <row r="26" spans="1:14" x14ac:dyDescent="0.3">
      <c r="A26" s="117" t="s">
        <v>185</v>
      </c>
      <c r="B26" s="119">
        <f>SUM(B17:B25)</f>
        <v>1</v>
      </c>
      <c r="C26" s="119"/>
      <c r="D26" s="120">
        <f>SUM(D17:D25)</f>
        <v>0.13950000000000001</v>
      </c>
      <c r="E26" s="117"/>
      <c r="G26" s="123">
        <v>6</v>
      </c>
      <c r="H26" s="123" t="s">
        <v>245</v>
      </c>
      <c r="I26" s="123" t="s">
        <v>246</v>
      </c>
      <c r="J26" s="123" t="s">
        <v>247</v>
      </c>
      <c r="K26" s="123" t="s">
        <v>240</v>
      </c>
      <c r="M26" s="87" t="s">
        <v>173</v>
      </c>
      <c r="N26" s="87" t="s">
        <v>176</v>
      </c>
    </row>
    <row r="27" spans="1:14" x14ac:dyDescent="0.3">
      <c r="G27" s="123">
        <v>7</v>
      </c>
      <c r="H27" s="123" t="s">
        <v>245</v>
      </c>
      <c r="I27" s="123" t="s">
        <v>248</v>
      </c>
      <c r="J27" s="123" t="s">
        <v>247</v>
      </c>
      <c r="K27" s="123" t="s">
        <v>240</v>
      </c>
      <c r="M27" t="s">
        <v>253</v>
      </c>
      <c r="N27">
        <v>8.75</v>
      </c>
    </row>
    <row r="28" spans="1:14" x14ac:dyDescent="0.3">
      <c r="A28" s="126" t="s">
        <v>214</v>
      </c>
      <c r="B28" s="105"/>
      <c r="C28" s="105"/>
      <c r="D28" s="105"/>
      <c r="E28" s="105"/>
      <c r="M28" t="s">
        <v>254</v>
      </c>
      <c r="N28">
        <v>4</v>
      </c>
    </row>
    <row r="29" spans="1:14" x14ac:dyDescent="0.3">
      <c r="A29" s="127" t="s">
        <v>215</v>
      </c>
      <c r="B29" s="127" t="s">
        <v>216</v>
      </c>
      <c r="C29" s="127" t="s">
        <v>217</v>
      </c>
      <c r="D29" s="127" t="s">
        <v>218</v>
      </c>
      <c r="E29" s="127" t="s">
        <v>126</v>
      </c>
      <c r="M29" t="s">
        <v>59</v>
      </c>
      <c r="N29">
        <v>1</v>
      </c>
    </row>
    <row r="30" spans="1:14" x14ac:dyDescent="0.3">
      <c r="A30" t="s">
        <v>219</v>
      </c>
      <c r="B30" t="s">
        <v>220</v>
      </c>
      <c r="C30" t="s">
        <v>221</v>
      </c>
      <c r="D30" t="s">
        <v>222</v>
      </c>
      <c r="E30" t="s">
        <v>223</v>
      </c>
      <c r="M30" t="s">
        <v>180</v>
      </c>
      <c r="N30">
        <v>0</v>
      </c>
    </row>
    <row r="31" spans="1:14" x14ac:dyDescent="0.3">
      <c r="A31" t="s">
        <v>224</v>
      </c>
      <c r="B31" t="s">
        <v>225</v>
      </c>
      <c r="C31" t="s">
        <v>226</v>
      </c>
      <c r="D31" t="s">
        <v>227</v>
      </c>
      <c r="E31" t="s">
        <v>228</v>
      </c>
      <c r="M31" t="s">
        <v>181</v>
      </c>
      <c r="N31">
        <v>0</v>
      </c>
    </row>
    <row r="32" spans="1:14" x14ac:dyDescent="0.3">
      <c r="A32" t="s">
        <v>229</v>
      </c>
      <c r="B32" t="s">
        <v>230</v>
      </c>
      <c r="C32" s="90">
        <v>1</v>
      </c>
      <c r="D32" t="s">
        <v>231</v>
      </c>
      <c r="E32" t="s">
        <v>228</v>
      </c>
      <c r="M32" t="s">
        <v>182</v>
      </c>
      <c r="N32">
        <v>0</v>
      </c>
    </row>
    <row r="33" spans="13:15" x14ac:dyDescent="0.3">
      <c r="M33" t="s">
        <v>84</v>
      </c>
      <c r="N33">
        <v>0</v>
      </c>
    </row>
    <row r="34" spans="13:15" x14ac:dyDescent="0.3">
      <c r="M34" t="s">
        <v>255</v>
      </c>
      <c r="N34">
        <v>0.1</v>
      </c>
    </row>
    <row r="35" spans="13:15" x14ac:dyDescent="0.3">
      <c r="M35" t="s">
        <v>184</v>
      </c>
      <c r="N35">
        <v>0.1</v>
      </c>
    </row>
    <row r="37" spans="13:15" x14ac:dyDescent="0.3">
      <c r="M37" s="87" t="s">
        <v>287</v>
      </c>
      <c r="N37" s="87" t="s">
        <v>288</v>
      </c>
      <c r="O37" s="87" t="s">
        <v>289</v>
      </c>
    </row>
    <row r="38" spans="13:15" x14ac:dyDescent="0.3">
      <c r="M38" t="s">
        <v>290</v>
      </c>
      <c r="N38" s="90">
        <v>0.05</v>
      </c>
      <c r="O38" s="90">
        <v>0.05</v>
      </c>
    </row>
    <row r="39" spans="13:15" x14ac:dyDescent="0.3">
      <c r="M39" t="s">
        <v>291</v>
      </c>
      <c r="N39" s="90">
        <v>0.15</v>
      </c>
      <c r="O39" s="90">
        <v>0.1</v>
      </c>
    </row>
    <row r="40" spans="13:15" x14ac:dyDescent="0.3">
      <c r="M40" s="135" t="s">
        <v>300</v>
      </c>
      <c r="N40" s="90">
        <v>0.3</v>
      </c>
      <c r="O40" s="90">
        <v>0.12</v>
      </c>
    </row>
    <row r="41" spans="13:15" x14ac:dyDescent="0.3">
      <c r="M41" s="136" t="s">
        <v>301</v>
      </c>
      <c r="N41" s="90">
        <v>0.5</v>
      </c>
      <c r="O41" s="90">
        <v>0.13</v>
      </c>
    </row>
    <row r="42" spans="13:15" x14ac:dyDescent="0.3">
      <c r="M42" t="s">
        <v>292</v>
      </c>
      <c r="N42" s="90">
        <v>0.7</v>
      </c>
      <c r="O42" s="90">
        <v>0.14000000000000001</v>
      </c>
    </row>
    <row r="43" spans="13:15" x14ac:dyDescent="0.3">
      <c r="M43" s="136" t="s">
        <v>302</v>
      </c>
      <c r="N43" s="90">
        <v>0.85</v>
      </c>
      <c r="O43" s="90">
        <v>0.15</v>
      </c>
    </row>
    <row r="44" spans="13:15" x14ac:dyDescent="0.3">
      <c r="M44" s="136" t="s">
        <v>303</v>
      </c>
      <c r="N44" s="90">
        <v>1</v>
      </c>
      <c r="O44" s="90">
        <v>0.15</v>
      </c>
    </row>
    <row r="52" spans="1:11" x14ac:dyDescent="0.3">
      <c r="A52" s="131" t="s">
        <v>272</v>
      </c>
      <c r="B52" s="105"/>
      <c r="C52" s="105"/>
      <c r="D52" s="105"/>
      <c r="E52" s="105"/>
    </row>
    <row r="53" spans="1:11" x14ac:dyDescent="0.3">
      <c r="A53" s="132" t="s">
        <v>273</v>
      </c>
      <c r="B53" s="132" t="s">
        <v>274</v>
      </c>
      <c r="C53" s="132" t="s">
        <v>275</v>
      </c>
      <c r="D53" s="132" t="s">
        <v>126</v>
      </c>
      <c r="E53" s="132" t="s">
        <v>276</v>
      </c>
    </row>
    <row r="54" spans="1:11" x14ac:dyDescent="0.3">
      <c r="A54" s="123" t="s">
        <v>277</v>
      </c>
      <c r="B54" s="124">
        <v>1</v>
      </c>
      <c r="C54" s="124">
        <v>0.15</v>
      </c>
      <c r="D54" s="123" t="s">
        <v>278</v>
      </c>
      <c r="E54" s="123" t="s">
        <v>279</v>
      </c>
    </row>
    <row r="55" spans="1:11" x14ac:dyDescent="0.3">
      <c r="A55" s="123" t="s">
        <v>280</v>
      </c>
      <c r="B55" s="124">
        <v>0.5</v>
      </c>
      <c r="C55" s="124">
        <v>0.25</v>
      </c>
      <c r="D55" s="123" t="s">
        <v>281</v>
      </c>
      <c r="E55" s="123" t="s">
        <v>282</v>
      </c>
    </row>
    <row r="56" spans="1:11" x14ac:dyDescent="0.3">
      <c r="A56" s="123" t="s">
        <v>168</v>
      </c>
      <c r="B56" s="123">
        <v>44</v>
      </c>
      <c r="C56" s="123">
        <v>9</v>
      </c>
      <c r="D56" s="123" t="s">
        <v>278</v>
      </c>
      <c r="E56" s="123" t="s">
        <v>279</v>
      </c>
    </row>
    <row r="57" spans="1:11" x14ac:dyDescent="0.3">
      <c r="A57" s="123" t="s">
        <v>166</v>
      </c>
      <c r="B57" s="123">
        <v>129</v>
      </c>
      <c r="C57" s="123">
        <f ca="1">_xlfn.DAYS(TODAY(),DATE(2025,12,15))</f>
        <v>170</v>
      </c>
      <c r="D57" s="123" t="s">
        <v>283</v>
      </c>
      <c r="E57" s="123" t="s">
        <v>284</v>
      </c>
    </row>
    <row r="58" spans="1:11" x14ac:dyDescent="0.3">
      <c r="A58" s="123" t="s">
        <v>285</v>
      </c>
      <c r="B58" s="123">
        <v>8</v>
      </c>
      <c r="C58" s="123">
        <v>1.6</v>
      </c>
      <c r="D58" s="123" t="s">
        <v>278</v>
      </c>
      <c r="E58" s="123" t="s">
        <v>279</v>
      </c>
    </row>
    <row r="60" spans="1:11" ht="45" customHeight="1" x14ac:dyDescent="0.3">
      <c r="A60" s="133" t="s">
        <v>286</v>
      </c>
      <c r="B60" s="105"/>
      <c r="C60" s="105"/>
      <c r="D60" s="105"/>
      <c r="E60" s="105"/>
      <c r="F60" s="105"/>
      <c r="G60" s="105"/>
      <c r="H60" s="105"/>
      <c r="I60" s="105"/>
      <c r="J60" s="105"/>
      <c r="K60" s="105"/>
    </row>
  </sheetData>
  <mergeCells count="9">
    <mergeCell ref="A52:E52"/>
    <mergeCell ref="A60:K60"/>
    <mergeCell ref="A1:H1"/>
    <mergeCell ref="A2:H2"/>
    <mergeCell ref="A4:D4"/>
    <mergeCell ref="A15:E15"/>
    <mergeCell ref="G4:K4"/>
    <mergeCell ref="A28:E28"/>
    <mergeCell ref="G19:K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Actividades</vt:lpstr>
      <vt:lpstr>Grant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Vazquez Lopez</dc:creator>
  <cp:lastModifiedBy>Luis Enrique Vazquez Lopez</cp:lastModifiedBy>
  <dcterms:created xsi:type="dcterms:W3CDTF">2026-04-22T00:10:47Z</dcterms:created>
  <dcterms:modified xsi:type="dcterms:W3CDTF">2026-06-03T17:53:17Z</dcterms:modified>
</cp:coreProperties>
</file>